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동국제약(타크로니무스)\7. in vivo PK\mouse PK\"/>
    </mc:Choice>
  </mc:AlternateContent>
  <xr:revisionPtr revIDLastSave="0" documentId="13_ncr:1_{657D60A5-B020-4955-811B-A1D139F56574}" xr6:coauthVersionLast="47" xr6:coauthVersionMax="47" xr10:uidLastSave="{00000000-0000-0000-0000-000000000000}"/>
  <bookViews>
    <workbookView xWindow="38280" yWindow="-120" windowWidth="29040" windowHeight="15720" tabRatio="726" activeTab="4" xr2:uid="{00000000-000D-0000-FFFF-FFFF00000000}"/>
  </bookViews>
  <sheets>
    <sheet name="Report_Summary" sheetId="79" r:id="rId1"/>
    <sheet name="1. Data" sheetId="80" r:id="rId2"/>
    <sheet name="2. Result" sheetId="52" r:id="rId3"/>
    <sheet name="1(1). LCMS" sheetId="65" r:id="rId4"/>
    <sheet name="BW" sheetId="81" r:id="rId5"/>
  </sheets>
  <externalReferences>
    <externalReference r:id="rId6"/>
  </externalReferences>
  <definedNames>
    <definedName name="A_intercept">#REF!</definedName>
    <definedName name="A_rate">#REF!</definedName>
    <definedName name="AUCinfinity">#REF!</definedName>
    <definedName name="AUCobserved">#REF!</definedName>
    <definedName name="AUMCinfinity">#REF!</definedName>
    <definedName name="Cmax">#REF!</definedName>
    <definedName name="DA_intercept">#REF!</definedName>
    <definedName name="DA_rate">#REF!</definedName>
    <definedName name="Description">#REF!</definedName>
    <definedName name="Dose">#REF!</definedName>
    <definedName name="DoseRoute">#REF!</definedName>
    <definedName name="E_intercept">#REF!</definedName>
    <definedName name="E_rate">#REF!</definedName>
    <definedName name="Mode">#REF!</definedName>
    <definedName name="_xlnm.Print_Area" localSheetId="1">'1. Data'!$A$1:$J$41</definedName>
    <definedName name="_xlnm.Print_Titles" localSheetId="2">'2. Result'!$A:$C,'2. Result'!$8:$9</definedName>
    <definedName name="Terms">#REF!</definedName>
    <definedName name="Tmax">#REF!</definedName>
    <definedName name="UnitAmount">#REF!</definedName>
    <definedName name="UnitConc">#REF!</definedName>
    <definedName name="UnitTime">#REF!</definedName>
    <definedName name="UnitVol">#REF!</definedName>
    <definedName name="We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0" i="81" l="1"/>
  <c r="J30" i="81"/>
  <c r="I30" i="81"/>
  <c r="H30" i="81"/>
  <c r="G30" i="81"/>
  <c r="F30" i="81"/>
  <c r="E30" i="81"/>
  <c r="D30" i="81"/>
  <c r="K29" i="81"/>
  <c r="J29" i="81"/>
  <c r="I29" i="81"/>
  <c r="H29" i="81"/>
  <c r="G29" i="81"/>
  <c r="F29" i="81"/>
  <c r="E29" i="81"/>
  <c r="D29" i="81"/>
  <c r="K28" i="81"/>
  <c r="J28" i="81"/>
  <c r="I28" i="81"/>
  <c r="H28" i="81"/>
  <c r="G28" i="81"/>
  <c r="F28" i="81"/>
  <c r="E28" i="81"/>
  <c r="D28" i="81"/>
  <c r="K21" i="81"/>
  <c r="J21" i="81"/>
  <c r="I21" i="81"/>
  <c r="H21" i="81"/>
  <c r="G21" i="81"/>
  <c r="F21" i="81"/>
  <c r="E21" i="81"/>
  <c r="D21" i="81"/>
  <c r="K20" i="81"/>
  <c r="J20" i="81"/>
  <c r="I20" i="81"/>
  <c r="H20" i="81"/>
  <c r="G20" i="81"/>
  <c r="F20" i="81"/>
  <c r="E20" i="81"/>
  <c r="D20" i="81"/>
  <c r="K13" i="81"/>
  <c r="J13" i="81"/>
  <c r="I13" i="81"/>
  <c r="H13" i="81"/>
  <c r="G13" i="81"/>
  <c r="F13" i="81"/>
  <c r="E13" i="81"/>
  <c r="D13" i="81"/>
  <c r="K12" i="81"/>
  <c r="J12" i="81"/>
  <c r="I12" i="81"/>
  <c r="H12" i="81"/>
  <c r="G12" i="81"/>
  <c r="F12" i="81"/>
  <c r="E12" i="81"/>
  <c r="D12" i="81"/>
  <c r="AB29" i="52"/>
  <c r="AE25" i="52"/>
  <c r="AE24" i="52"/>
  <c r="AE23" i="52"/>
  <c r="AC8" i="52"/>
  <c r="J92" i="52"/>
  <c r="B92" i="52"/>
  <c r="J91" i="52"/>
  <c r="B91" i="52"/>
  <c r="J71" i="52"/>
  <c r="B71" i="52"/>
  <c r="J70" i="52"/>
  <c r="B70" i="52"/>
  <c r="B50" i="52"/>
  <c r="B49" i="52"/>
  <c r="J50" i="52"/>
  <c r="J49" i="52"/>
  <c r="J90" i="52"/>
  <c r="J89" i="52"/>
  <c r="J88" i="52"/>
  <c r="I88" i="52"/>
  <c r="J87" i="52"/>
  <c r="I87" i="52"/>
  <c r="J69" i="52"/>
  <c r="J68" i="52"/>
  <c r="I68" i="52"/>
  <c r="J67" i="52"/>
  <c r="I67" i="52"/>
  <c r="J66" i="52"/>
  <c r="I66" i="52"/>
  <c r="J48" i="52"/>
  <c r="J47" i="52"/>
  <c r="I47" i="52"/>
  <c r="J46" i="52"/>
  <c r="I46" i="52"/>
  <c r="J45" i="52"/>
  <c r="I45" i="52"/>
  <c r="T29" i="52"/>
  <c r="W25" i="52"/>
  <c r="W24" i="52"/>
  <c r="W23" i="52"/>
  <c r="U8" i="52"/>
  <c r="L29" i="52"/>
  <c r="O25" i="52"/>
  <c r="O24" i="52"/>
  <c r="O23" i="52"/>
  <c r="M8" i="52"/>
  <c r="J86" i="52"/>
  <c r="I86" i="52"/>
  <c r="J85" i="52"/>
  <c r="I85" i="52"/>
  <c r="J84" i="52"/>
  <c r="I84" i="52"/>
  <c r="J65" i="52"/>
  <c r="I65" i="52"/>
  <c r="J64" i="52"/>
  <c r="I64" i="52"/>
  <c r="J63" i="52"/>
  <c r="I63" i="52"/>
  <c r="J44" i="52"/>
  <c r="I44" i="52"/>
  <c r="J43" i="52"/>
  <c r="I43" i="52"/>
  <c r="J42" i="52"/>
  <c r="I42" i="52"/>
  <c r="F36" i="65"/>
  <c r="D25" i="52" l="1"/>
  <c r="D24" i="52"/>
  <c r="D23" i="52"/>
  <c r="J83" i="52"/>
  <c r="I83" i="52"/>
  <c r="J82" i="52"/>
  <c r="I82" i="52"/>
  <c r="J81" i="52"/>
  <c r="I81" i="52"/>
  <c r="J80" i="52"/>
  <c r="I80" i="52"/>
  <c r="J79" i="52"/>
  <c r="I79" i="52"/>
  <c r="J78" i="52"/>
  <c r="I78" i="52"/>
  <c r="J77" i="52"/>
  <c r="I77" i="52"/>
  <c r="J62" i="52"/>
  <c r="I62" i="52"/>
  <c r="J61" i="52"/>
  <c r="I61" i="52"/>
  <c r="J60" i="52"/>
  <c r="I60" i="52"/>
  <c r="J59" i="52"/>
  <c r="I59" i="52"/>
  <c r="J58" i="52"/>
  <c r="I58" i="52"/>
  <c r="J57" i="52"/>
  <c r="I57" i="52"/>
  <c r="J56" i="52"/>
  <c r="I56" i="52"/>
  <c r="J41" i="52" l="1"/>
  <c r="I41" i="52"/>
  <c r="J40" i="52"/>
  <c r="I40" i="52"/>
  <c r="J39" i="52"/>
  <c r="I39" i="52"/>
  <c r="J38" i="52"/>
  <c r="I38" i="52"/>
  <c r="J37" i="52"/>
  <c r="I37" i="52"/>
  <c r="J36" i="52"/>
  <c r="I36" i="52"/>
  <c r="J35" i="52"/>
  <c r="I35" i="52"/>
  <c r="A29" i="52" l="1"/>
  <c r="B8" i="52"/>
</calcChain>
</file>

<file path=xl/sharedStrings.xml><?xml version="1.0" encoding="utf-8"?>
<sst xmlns="http://schemas.openxmlformats.org/spreadsheetml/2006/main" count="356" uniqueCount="206">
  <si>
    <t>Time (hr)</t>
  </si>
  <si>
    <t>Regression</t>
  </si>
  <si>
    <t>Calibration</t>
    <phoneticPr fontId="18" type="noConversion"/>
  </si>
  <si>
    <t>Species</t>
    <phoneticPr fontId="20" type="noConversion"/>
  </si>
  <si>
    <t>Sex</t>
    <phoneticPr fontId="20" type="noConversion"/>
  </si>
  <si>
    <t>Route</t>
    <phoneticPr fontId="20" type="noConversion"/>
  </si>
  <si>
    <t>Dosing</t>
    <phoneticPr fontId="20" type="noConversion"/>
  </si>
  <si>
    <t>Vehicle</t>
    <phoneticPr fontId="20" type="noConversion"/>
  </si>
  <si>
    <t>Area ratio</t>
    <phoneticPr fontId="18" type="noConversion"/>
  </si>
  <si>
    <t>#1</t>
    <phoneticPr fontId="18" type="noConversion"/>
  </si>
  <si>
    <t>DBLK</t>
    <phoneticPr fontId="18" type="noConversion"/>
  </si>
  <si>
    <t>BLK (P)</t>
    <phoneticPr fontId="18" type="noConversion"/>
  </si>
  <si>
    <t>ng/mL</t>
  </si>
  <si>
    <t>hr</t>
  </si>
  <si>
    <t>Pharmacokinetic study in animals</t>
    <phoneticPr fontId="18" type="noConversion"/>
  </si>
  <si>
    <t>Test Compound</t>
    <phoneticPr fontId="18" type="noConversion"/>
  </si>
  <si>
    <t>Title</t>
    <phoneticPr fontId="18" type="noConversion"/>
  </si>
  <si>
    <t>Study design</t>
    <phoneticPr fontId="20" type="noConversion"/>
  </si>
  <si>
    <t>Animal study</t>
    <phoneticPr fontId="20" type="noConversion"/>
  </si>
  <si>
    <t>Bioassay</t>
    <phoneticPr fontId="20" type="noConversion"/>
  </si>
  <si>
    <t>Data analysis</t>
    <phoneticPr fontId="20" type="noConversion"/>
  </si>
  <si>
    <t>Report (summary)</t>
    <phoneticPr fontId="18" type="noConversion"/>
  </si>
  <si>
    <r>
      <t>t</t>
    </r>
    <r>
      <rPr>
        <b/>
        <vertAlign val="subscript"/>
        <sz val="12"/>
        <rFont val="Arial"/>
        <family val="2"/>
      </rPr>
      <t>max</t>
    </r>
  </si>
  <si>
    <r>
      <t>C</t>
    </r>
    <r>
      <rPr>
        <b/>
        <vertAlign val="subscript"/>
        <sz val="12"/>
        <rFont val="Arial"/>
        <family val="2"/>
      </rPr>
      <t>max</t>
    </r>
  </si>
  <si>
    <t>Parameters</t>
    <phoneticPr fontId="18" type="noConversion"/>
  </si>
  <si>
    <t>Unit</t>
    <phoneticPr fontId="18" type="noConversion"/>
  </si>
  <si>
    <t>Pharmacokinetic profiles</t>
    <phoneticPr fontId="18" type="noConversion"/>
  </si>
  <si>
    <t>Pharmacokinetic parameters</t>
    <phoneticPr fontId="18" type="noConversion"/>
  </si>
  <si>
    <t>Report (result)</t>
    <phoneticPr fontId="18" type="noConversion"/>
  </si>
  <si>
    <t>Conc. (ng/mL)</t>
    <phoneticPr fontId="18" type="noConversion"/>
  </si>
  <si>
    <t>Note: Linear Scale</t>
    <phoneticPr fontId="18" type="noConversion"/>
  </si>
  <si>
    <t>Article</t>
    <phoneticPr fontId="18" type="noConversion"/>
  </si>
  <si>
    <t>Analytes</t>
    <phoneticPr fontId="18" type="noConversion"/>
  </si>
  <si>
    <t>Dose</t>
    <phoneticPr fontId="18" type="noConversion"/>
  </si>
  <si>
    <t>Standard samples</t>
    <phoneticPr fontId="18" type="noConversion"/>
  </si>
  <si>
    <t>Samples (final concentration)</t>
    <phoneticPr fontId="18" type="noConversion"/>
  </si>
  <si>
    <t>Abbriviation</t>
    <phoneticPr fontId="18" type="noConversion"/>
  </si>
  <si>
    <t>BQL</t>
    <phoneticPr fontId="18" type="noConversion"/>
  </si>
  <si>
    <t>below quantification level</t>
    <phoneticPr fontId="18" type="noConversion"/>
  </si>
  <si>
    <t>Note: Semi-log Scale</t>
    <phoneticPr fontId="18" type="noConversion"/>
  </si>
  <si>
    <t>HPLC System</t>
    <phoneticPr fontId="18" type="noConversion"/>
  </si>
  <si>
    <t>Column</t>
    <phoneticPr fontId="18" type="noConversion"/>
  </si>
  <si>
    <t>Column temp.</t>
    <phoneticPr fontId="18" type="noConversion"/>
  </si>
  <si>
    <t>Mobile phase</t>
    <phoneticPr fontId="18" type="noConversion"/>
  </si>
  <si>
    <t>A:</t>
    <phoneticPr fontId="18" type="noConversion"/>
  </si>
  <si>
    <t>B:</t>
    <phoneticPr fontId="18" type="noConversion"/>
  </si>
  <si>
    <t>Time (min)</t>
    <phoneticPr fontId="18" type="noConversion"/>
  </si>
  <si>
    <t>B (%)</t>
    <phoneticPr fontId="18" type="noConversion"/>
  </si>
  <si>
    <t>Autosampler temp.</t>
    <phoneticPr fontId="18" type="noConversion"/>
  </si>
  <si>
    <t>Detection</t>
    <phoneticPr fontId="18" type="noConversion"/>
  </si>
  <si>
    <t>Curtain gas</t>
    <phoneticPr fontId="18" type="noConversion"/>
  </si>
  <si>
    <t>Ion source gas 1</t>
    <phoneticPr fontId="18" type="noConversion"/>
  </si>
  <si>
    <t>Ion source gas 2</t>
    <phoneticPr fontId="18" type="noConversion"/>
  </si>
  <si>
    <t>Ionspray voltage</t>
    <phoneticPr fontId="18" type="noConversion"/>
  </si>
  <si>
    <t>Temperature</t>
    <phoneticPr fontId="18" type="noConversion"/>
  </si>
  <si>
    <t>MRM mode</t>
    <phoneticPr fontId="18" type="noConversion"/>
  </si>
  <si>
    <t>Positive</t>
    <phoneticPr fontId="18" type="noConversion"/>
  </si>
  <si>
    <t>m/z</t>
    <phoneticPr fontId="18" type="noConversion"/>
  </si>
  <si>
    <t>DP (V)</t>
    <phoneticPr fontId="18" type="noConversion"/>
  </si>
  <si>
    <t>CE (eV)</t>
    <phoneticPr fontId="18" type="noConversion"/>
  </si>
  <si>
    <t>CXP (eV)</t>
    <phoneticPr fontId="18" type="noConversion"/>
  </si>
  <si>
    <t>Formula</t>
    <phoneticPr fontId="18" type="noConversion"/>
  </si>
  <si>
    <t>MW</t>
    <phoneticPr fontId="18" type="noConversion"/>
  </si>
  <si>
    <t>Analyte</t>
    <phoneticPr fontId="18" type="noConversion"/>
  </si>
  <si>
    <t>IS</t>
    <phoneticPr fontId="18" type="noConversion"/>
  </si>
  <si>
    <t>Stock</t>
    <phoneticPr fontId="18" type="noConversion"/>
  </si>
  <si>
    <t>Analyte:</t>
    <phoneticPr fontId="18" type="noConversion"/>
  </si>
  <si>
    <t>mg</t>
    <phoneticPr fontId="18" type="noConversion"/>
  </si>
  <si>
    <t>Working solution</t>
    <phoneticPr fontId="18" type="noConversion"/>
  </si>
  <si>
    <t>IS Solution</t>
    <phoneticPr fontId="18" type="noConversion"/>
  </si>
  <si>
    <t>#2</t>
  </si>
  <si>
    <t>r</t>
    <phoneticPr fontId="18" type="noConversion"/>
  </si>
  <si>
    <t>LC-MS/MS condition</t>
    <phoneticPr fontId="18" type="noConversion"/>
  </si>
  <si>
    <t>Exact mass</t>
    <phoneticPr fontId="18" type="noConversion"/>
  </si>
  <si>
    <t>Mean</t>
    <phoneticPr fontId="18" type="noConversion"/>
  </si>
  <si>
    <t>SD</t>
    <phoneticPr fontId="18" type="noConversion"/>
  </si>
  <si>
    <t>mL</t>
    <phoneticPr fontId="18" type="noConversion"/>
  </si>
  <si>
    <t>Isocratic</t>
    <phoneticPr fontId="18" type="noConversion"/>
  </si>
  <si>
    <t>DMSO</t>
    <phoneticPr fontId="18" type="noConversion"/>
  </si>
  <si>
    <t>10 mg/mL in DMSO</t>
    <phoneticPr fontId="18" type="noConversion"/>
  </si>
  <si>
    <t>Linear</t>
    <phoneticPr fontId="18" type="noConversion"/>
  </si>
  <si>
    <t>a</t>
    <phoneticPr fontId="18" type="noConversion"/>
  </si>
  <si>
    <t>b</t>
    <phoneticPr fontId="18" type="noConversion"/>
  </si>
  <si>
    <t>#3</t>
  </si>
  <si>
    <t>Mean</t>
    <phoneticPr fontId="20" type="noConversion"/>
  </si>
  <si>
    <t>G1</t>
    <phoneticPr fontId="18" type="noConversion"/>
  </si>
  <si>
    <t>G2</t>
    <phoneticPr fontId="18" type="noConversion"/>
  </si>
  <si>
    <t>Pharmacokinetic parameters were obtained by non-compartmental analysis using WinNonlin software.</t>
  </si>
  <si>
    <t>RT (min)</t>
    <phoneticPr fontId="18" type="noConversion"/>
  </si>
  <si>
    <t>Range (ng/mL)</t>
    <phoneticPr fontId="18" type="noConversion"/>
  </si>
  <si>
    <t>Weighting</t>
    <phoneticPr fontId="18" type="noConversion"/>
  </si>
  <si>
    <r>
      <t>[</t>
    </r>
    <r>
      <rPr>
        <b/>
        <sz val="11"/>
        <color rgb="FFC00000"/>
        <rFont val="돋움"/>
        <family val="3"/>
        <charset val="129"/>
      </rPr>
      <t>확인용</t>
    </r>
    <r>
      <rPr>
        <b/>
        <sz val="11"/>
        <color rgb="FFC00000"/>
        <rFont val="Arial"/>
        <family val="2"/>
      </rPr>
      <t xml:space="preserve">] - </t>
    </r>
    <r>
      <rPr>
        <b/>
        <sz val="11"/>
        <color rgb="FFC00000"/>
        <rFont val="돋움"/>
        <family val="3"/>
        <charset val="129"/>
      </rPr>
      <t>최종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결과보고서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작성시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검토과정에서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일부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변경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될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수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있습니다</t>
    </r>
    <r>
      <rPr>
        <b/>
        <sz val="11"/>
        <color rgb="FFC00000"/>
        <rFont val="Arial"/>
        <family val="2"/>
      </rPr>
      <t>.</t>
    </r>
    <phoneticPr fontId="18" type="noConversion"/>
  </si>
  <si>
    <r>
      <t xml:space="preserve">LC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</si>
  <si>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r>
      <t xml:space="preserve">40 </t>
    </r>
    <r>
      <rPr>
        <sz val="10"/>
        <color theme="1"/>
        <rFont val="맑은 고딕"/>
        <family val="3"/>
        <charset val="129"/>
      </rPr>
      <t>℃</t>
    </r>
    <phoneticPr fontId="18" type="noConversion"/>
  </si>
  <si>
    <r>
      <t xml:space="preserve">10 </t>
    </r>
    <r>
      <rPr>
        <sz val="10"/>
        <color theme="1"/>
        <rFont val="맑은 고딕"/>
        <family val="3"/>
        <charset val="129"/>
      </rPr>
      <t>℃</t>
    </r>
  </si>
  <si>
    <r>
      <t xml:space="preserve">MS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</si>
  <si>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r>
      <rPr>
        <b/>
        <sz val="10"/>
        <color theme="1"/>
        <rFont val="맑은 고딕"/>
        <family val="3"/>
        <charset val="129"/>
      </rPr>
      <t>표준품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phoneticPr fontId="18" type="noConversion"/>
  </si>
  <si>
    <r>
      <t xml:space="preserve">MRM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</si>
  <si>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r>
      <rPr>
        <sz val="10"/>
        <rFont val="맑은 고딕"/>
        <family val="3"/>
        <charset val="129"/>
      </rPr>
      <t>→</t>
    </r>
    <phoneticPr fontId="18" type="noConversion"/>
  </si>
  <si>
    <r>
      <rPr>
        <b/>
        <sz val="10"/>
        <color theme="1"/>
        <rFont val="맑은 고딕"/>
        <family val="3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방법</t>
    </r>
    <phoneticPr fontId="18" type="noConversion"/>
  </si>
  <si>
    <t>#5</t>
  </si>
  <si>
    <t>CV (%)</t>
    <phoneticPr fontId="18" type="noConversion"/>
  </si>
  <si>
    <t>LQC_0.3</t>
  </si>
  <si>
    <t>MQC_3</t>
  </si>
  <si>
    <t>Blood concentration (ng/mL)</t>
    <phoneticPr fontId="18" type="noConversion"/>
  </si>
  <si>
    <t>HQC_40</t>
  </si>
  <si>
    <t>LC/MS/MS data were analyzed by Analyst 1.7.3.  PK parameters were calculated by noncompartmental analysis using WinNonlin software.</t>
    <phoneticPr fontId="18" type="noConversion"/>
  </si>
  <si>
    <t>BQL, &lt;0.1 ng/mL</t>
    <phoneticPr fontId="18" type="noConversion"/>
  </si>
  <si>
    <t>Tacrolimus</t>
    <phoneticPr fontId="18" type="noConversion"/>
  </si>
  <si>
    <t>SHIMADZU Nexera 40 series</t>
    <phoneticPr fontId="18" type="noConversion"/>
  </si>
  <si>
    <t>Agilent ZORBAX Eclipse XDB-C18, 3.5 µm, 50 X 2.1mm</t>
    <phoneticPr fontId="18" type="noConversion"/>
  </si>
  <si>
    <t>2 mM Ammonium acetate and 0.1% formic acid in water</t>
    <phoneticPr fontId="18" type="noConversion"/>
  </si>
  <si>
    <t>Methanol</t>
    <phoneticPr fontId="18" type="noConversion"/>
  </si>
  <si>
    <t>SCIEX Triple Quad™ 4500 System</t>
    <phoneticPr fontId="18" type="noConversion"/>
  </si>
  <si>
    <r>
      <t>C</t>
    </r>
    <r>
      <rPr>
        <vertAlign val="subscript"/>
        <sz val="10"/>
        <rFont val="Arial"/>
        <family val="2"/>
      </rPr>
      <t>44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69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12</t>
    </r>
    <phoneticPr fontId="18" type="noConversion"/>
  </si>
  <si>
    <t>Everolimus</t>
    <phoneticPr fontId="18" type="noConversion"/>
  </si>
  <si>
    <r>
      <t>C</t>
    </r>
    <r>
      <rPr>
        <vertAlign val="subscript"/>
        <sz val="10"/>
        <rFont val="Arial"/>
        <family val="2"/>
      </rPr>
      <t>53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83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14</t>
    </r>
    <phoneticPr fontId="18" type="noConversion"/>
  </si>
  <si>
    <t>Serial dilution with 50% MeOH</t>
    <phoneticPr fontId="18" type="noConversion"/>
  </si>
  <si>
    <t>Everolimus 300 ng/mL in 50% MeOH</t>
    <phoneticPr fontId="18" type="noConversion"/>
  </si>
  <si>
    <t>Liquid-Liquid extraction</t>
    <phoneticPr fontId="18" type="noConversion"/>
  </si>
  <si>
    <t>*Extraction solution: Ethyl acetate : n-Hexane : tBME = 2 : 2 : 1</t>
    <phoneticPr fontId="18" type="noConversion"/>
  </si>
  <si>
    <t>0.1-50</t>
    <phoneticPr fontId="18" type="noConversion"/>
  </si>
  <si>
    <r>
      <t>1/x</t>
    </r>
    <r>
      <rPr>
        <vertAlign val="superscript"/>
        <sz val="11"/>
        <rFont val="Arial"/>
        <family val="2"/>
      </rPr>
      <t>2</t>
    </r>
    <phoneticPr fontId="18" type="noConversion"/>
  </si>
  <si>
    <t>G2</t>
  </si>
  <si>
    <t>G3</t>
  </si>
  <si>
    <t>SC</t>
    <phoneticPr fontId="18" type="noConversion"/>
  </si>
  <si>
    <t>Dose
(mg/kg)</t>
  </si>
  <si>
    <t>Volume
(mL/kg)</t>
  </si>
  <si>
    <t>-</t>
    <phoneticPr fontId="18" type="noConversion"/>
  </si>
  <si>
    <t>#4</t>
  </si>
  <si>
    <t>#8</t>
  </si>
  <si>
    <t>#9</t>
  </si>
  <si>
    <t>#10</t>
  </si>
  <si>
    <t>G3</t>
    <phoneticPr fontId="18" type="noConversion"/>
  </si>
  <si>
    <t>#12</t>
  </si>
  <si>
    <t>#14</t>
  </si>
  <si>
    <t>#15</t>
  </si>
  <si>
    <t>#17</t>
  </si>
  <si>
    <t>#18</t>
  </si>
  <si>
    <r>
      <t>AUC</t>
    </r>
    <r>
      <rPr>
        <b/>
        <vertAlign val="subscript"/>
        <sz val="12"/>
        <rFont val="Arial"/>
        <family val="2"/>
      </rPr>
      <t>inf</t>
    </r>
    <phoneticPr fontId="18" type="noConversion"/>
  </si>
  <si>
    <t>Flow rate (μL/min)</t>
    <phoneticPr fontId="18" type="noConversion"/>
  </si>
  <si>
    <t>2.5 μL</t>
    <phoneticPr fontId="18" type="noConversion"/>
  </si>
  <si>
    <t>Injection volume (μL)</t>
    <phoneticPr fontId="18" type="noConversion"/>
  </si>
  <si>
    <t>0.001, 0.002, 0.005, 0.01, 0.02, 0.05, 0.1, 0.2, 0.5 μg/mL</t>
    <phoneticPr fontId="18" type="noConversion"/>
  </si>
  <si>
    <r>
      <t>Blood_1</t>
    </r>
    <r>
      <rPr>
        <b/>
        <sz val="11"/>
        <color theme="1"/>
        <rFont val="맑은 고딕"/>
        <family val="2"/>
        <charset val="129"/>
      </rPr>
      <t>차</t>
    </r>
    <phoneticPr fontId="18" type="noConversion"/>
  </si>
  <si>
    <t>ICR mouse</t>
    <phoneticPr fontId="18" type="noConversion"/>
  </si>
  <si>
    <t>male</t>
    <phoneticPr fontId="18" type="noConversion"/>
  </si>
  <si>
    <t>ICR mice were administered via each route with the test comopund dissolved in appropriate vehicles. Plasma samples were collected designated time and the samples were then stored at -70ºC  until analysis using LC-MS/MS system.</t>
    <phoneticPr fontId="18" type="noConversion"/>
  </si>
  <si>
    <t>7.5 mg/kg</t>
    <phoneticPr fontId="18" type="noConversion"/>
  </si>
  <si>
    <t>15 mg/kg</t>
    <phoneticPr fontId="18" type="noConversion"/>
  </si>
  <si>
    <t>SC, n=3</t>
    <phoneticPr fontId="18" type="noConversion"/>
  </si>
  <si>
    <r>
      <t xml:space="preserve">G1, </t>
    </r>
    <r>
      <rPr>
        <sz val="11"/>
        <color theme="1"/>
        <rFont val="새굴림"/>
        <family val="2"/>
        <charset val="129"/>
      </rPr>
      <t xml:space="preserve">시험물질, 7.5 </t>
    </r>
    <r>
      <rPr>
        <sz val="11"/>
        <color theme="1"/>
        <rFont val="Arial"/>
        <family val="2"/>
      </rPr>
      <t xml:space="preserve">mg/kg, SC;G2, </t>
    </r>
    <r>
      <rPr>
        <sz val="11"/>
        <color theme="1"/>
        <rFont val="맑은 고딕"/>
        <family val="2"/>
        <charset val="129"/>
      </rPr>
      <t>시험물질</t>
    </r>
    <r>
      <rPr>
        <sz val="11"/>
        <color theme="1"/>
        <rFont val="Arial"/>
        <family val="2"/>
      </rPr>
      <t xml:space="preserve">, 15 mg/kg, SC;G3, </t>
    </r>
    <r>
      <rPr>
        <sz val="11"/>
        <color theme="1"/>
        <rFont val="맑은 고딕"/>
        <family val="2"/>
        <charset val="129"/>
      </rPr>
      <t>시험물질</t>
    </r>
    <r>
      <rPr>
        <sz val="11"/>
        <color theme="1"/>
        <rFont val="Arial"/>
        <family val="2"/>
      </rPr>
      <t>, 30 mg/kg, SC</t>
    </r>
    <phoneticPr fontId="18" type="noConversion"/>
  </si>
  <si>
    <r>
      <rPr>
        <b/>
        <sz val="11"/>
        <rFont val="새굴림"/>
        <family val="2"/>
        <charset val="129"/>
      </rPr>
      <t>시험물질</t>
    </r>
    <r>
      <rPr>
        <b/>
        <sz val="11"/>
        <rFont val="Arial"/>
        <family val="2"/>
      </rPr>
      <t>, 7.5 mg/kg, SC</t>
    </r>
    <phoneticPr fontId="18" type="noConversion"/>
  </si>
  <si>
    <r>
      <rPr>
        <b/>
        <sz val="11"/>
        <rFont val="새굴림"/>
        <family val="2"/>
        <charset val="129"/>
      </rPr>
      <t>시험물질</t>
    </r>
    <r>
      <rPr>
        <b/>
        <sz val="11"/>
        <rFont val="Arial"/>
        <family val="2"/>
      </rPr>
      <t>, 15 mg/kg, SC</t>
    </r>
    <phoneticPr fontId="18" type="noConversion"/>
  </si>
  <si>
    <r>
      <rPr>
        <b/>
        <sz val="11"/>
        <rFont val="새굴림"/>
        <family val="2"/>
        <charset val="129"/>
      </rPr>
      <t>시험물질</t>
    </r>
    <r>
      <rPr>
        <b/>
        <sz val="11"/>
        <rFont val="Arial"/>
        <family val="2"/>
      </rPr>
      <t>, 30 mg/kg, SC</t>
    </r>
    <phoneticPr fontId="18" type="noConversion"/>
  </si>
  <si>
    <t>#6</t>
  </si>
  <si>
    <t>#7</t>
    <phoneticPr fontId="18" type="noConversion"/>
  </si>
  <si>
    <t>#11</t>
  </si>
  <si>
    <t>#13</t>
    <phoneticPr fontId="18" type="noConversion"/>
  </si>
  <si>
    <t>#16</t>
  </si>
  <si>
    <t>Guard column</t>
    <phoneticPr fontId="18" type="noConversion"/>
  </si>
  <si>
    <r>
      <t xml:space="preserve">Dilution QC (1/10 </t>
    </r>
    <r>
      <rPr>
        <sz val="12"/>
        <color theme="1"/>
        <rFont val="Arial Unicode MS"/>
        <family val="2"/>
        <charset val="129"/>
      </rPr>
      <t>희석</t>
    </r>
    <r>
      <rPr>
        <sz val="12"/>
        <color theme="1"/>
        <rFont val="Arial"/>
        <family val="2"/>
      </rPr>
      <t>)</t>
    </r>
    <phoneticPr fontId="18" type="noConversion"/>
  </si>
  <si>
    <t>Accuracy (%)</t>
    <phoneticPr fontId="18" type="noConversion"/>
  </si>
  <si>
    <t>S/N ratio (LLOQ) : 6.9</t>
    <phoneticPr fontId="18" type="noConversion"/>
  </si>
  <si>
    <r>
      <t xml:space="preserve">Whole Blood 100 μL (Blank or Sample) + Working solution (or 50% MeOH) 10 μL + IS solution 10 μL → vortex, 1 min → + water 180 μL → vortex, 1 min → </t>
    </r>
    <r>
      <rPr>
        <vertAlign val="superscript"/>
        <sz val="10"/>
        <rFont val="Arial"/>
        <family val="2"/>
      </rPr>
      <t>*</t>
    </r>
    <r>
      <rPr>
        <sz val="10"/>
        <rFont val="Arial"/>
        <family val="2"/>
      </rPr>
      <t xml:space="preserve">Extraction solution 500 μL → vortex, 5 min → centrifuge, 5 min, 4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 xml:space="preserve">, 17,600x g → supernatant 400 μL → evaporation, 15 min, 50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>, 2500 rpm →70% ACN 100 μL reconstitution</t>
    </r>
    <phoneticPr fontId="18" type="noConversion"/>
  </si>
  <si>
    <r>
      <t xml:space="preserve">Whole Blood 100 μL (Blank or Sample) + Working solution (or 50% MeOH) 10 μL + IS solution 10 μL → vortex, 1 min → + water 180 μL → vortex, 1 min → Extraction solution 500 μL → vortex, 5 min → centrifuge, 5 min, 4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 xml:space="preserve">, 17,600x g → supernatant 400 μL → evaporation, 15 min, 50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>, 2500 rpm →70% ACN 100 μL reconstitution</t>
    </r>
    <phoneticPr fontId="18" type="noConversion"/>
  </si>
  <si>
    <t>30 mg/kg</t>
    <phoneticPr fontId="18" type="noConversion"/>
  </si>
  <si>
    <r>
      <rPr>
        <sz val="12"/>
        <rFont val="새굴림"/>
        <family val="2"/>
        <charset val="129"/>
      </rPr>
      <t>시험물질</t>
    </r>
    <phoneticPr fontId="18" type="noConversion"/>
  </si>
  <si>
    <t>Everolimus 0.7 mg / DMSO 0.07 mL</t>
    <phoneticPr fontId="18" type="noConversion"/>
  </si>
  <si>
    <r>
      <t>AUC</t>
    </r>
    <r>
      <rPr>
        <b/>
        <vertAlign val="subscript"/>
        <sz val="12"/>
        <rFont val="Arial"/>
        <family val="2"/>
      </rPr>
      <t>0-168hr</t>
    </r>
    <phoneticPr fontId="18" type="noConversion"/>
  </si>
  <si>
    <r>
      <t>AUC</t>
    </r>
    <r>
      <rPr>
        <b/>
        <vertAlign val="subscript"/>
        <sz val="12"/>
        <rFont val="Arial"/>
        <family val="2"/>
      </rPr>
      <t>0-168hr</t>
    </r>
    <r>
      <rPr>
        <b/>
        <sz val="12"/>
        <rFont val="Arial"/>
        <family val="2"/>
      </rPr>
      <t>/Dose</t>
    </r>
    <phoneticPr fontId="18" type="noConversion"/>
  </si>
  <si>
    <r>
      <t>AUC</t>
    </r>
    <r>
      <rPr>
        <b/>
        <vertAlign val="subscript"/>
        <sz val="12"/>
        <rFont val="Arial"/>
        <family val="2"/>
      </rPr>
      <t>inf</t>
    </r>
    <r>
      <rPr>
        <b/>
        <sz val="12"/>
        <rFont val="Arial"/>
        <family val="2"/>
      </rPr>
      <t>/Dose</t>
    </r>
    <phoneticPr fontId="18" type="noConversion"/>
  </si>
  <si>
    <r>
      <t>C</t>
    </r>
    <r>
      <rPr>
        <b/>
        <vertAlign val="subscript"/>
        <sz val="12"/>
        <rFont val="Arial"/>
        <family val="2"/>
      </rPr>
      <t>max/</t>
    </r>
    <r>
      <rPr>
        <b/>
        <sz val="12"/>
        <rFont val="Arial"/>
        <family val="2"/>
      </rPr>
      <t>Dose</t>
    </r>
    <phoneticPr fontId="18" type="noConversion"/>
  </si>
  <si>
    <r>
      <t>ng</t>
    </r>
    <r>
      <rPr>
        <sz val="12"/>
        <rFont val="돋움"/>
        <family val="3"/>
        <charset val="129"/>
      </rPr>
      <t>∙</t>
    </r>
    <r>
      <rPr>
        <sz val="12"/>
        <rFont val="Arial"/>
        <family val="2"/>
      </rPr>
      <t>hr/mL</t>
    </r>
  </si>
  <si>
    <r>
      <t>(ng</t>
    </r>
    <r>
      <rPr>
        <sz val="12"/>
        <rFont val="돋움"/>
        <family val="3"/>
        <charset val="129"/>
      </rPr>
      <t>∙</t>
    </r>
    <r>
      <rPr>
        <sz val="12"/>
        <rFont val="Arial"/>
        <family val="2"/>
      </rPr>
      <t>hr/mL)/(mg/kg)</t>
    </r>
  </si>
  <si>
    <r>
      <t>Blood_2</t>
    </r>
    <r>
      <rPr>
        <b/>
        <sz val="11"/>
        <color theme="1"/>
        <rFont val="맑은 고딕"/>
        <family val="2"/>
        <charset val="129"/>
      </rPr>
      <t>차</t>
    </r>
    <phoneticPr fontId="18" type="noConversion"/>
  </si>
  <si>
    <t>(ng/mL)/(mg/kg)</t>
    <phoneticPr fontId="18" type="noConversion"/>
  </si>
  <si>
    <r>
      <t>AUC</t>
    </r>
    <r>
      <rPr>
        <b/>
        <vertAlign val="subscript"/>
        <sz val="12"/>
        <rFont val="Arial"/>
        <family val="2"/>
      </rPr>
      <t>0-504hr</t>
    </r>
    <phoneticPr fontId="18" type="noConversion"/>
  </si>
  <si>
    <r>
      <t>AUC</t>
    </r>
    <r>
      <rPr>
        <b/>
        <vertAlign val="subscript"/>
        <sz val="12"/>
        <rFont val="Arial"/>
        <family val="2"/>
      </rPr>
      <t>0-504hr</t>
    </r>
    <r>
      <rPr>
        <b/>
        <sz val="12"/>
        <rFont val="Arial"/>
        <family val="2"/>
      </rPr>
      <t>/Dose</t>
    </r>
    <phoneticPr fontId="18" type="noConversion"/>
  </si>
  <si>
    <r>
      <t>Blood_3</t>
    </r>
    <r>
      <rPr>
        <b/>
        <sz val="11"/>
        <color theme="1"/>
        <rFont val="맑은 고딕"/>
        <family val="2"/>
        <charset val="129"/>
      </rPr>
      <t>차</t>
    </r>
    <phoneticPr fontId="18" type="noConversion"/>
  </si>
  <si>
    <t>0.01 (BQL)</t>
    <phoneticPr fontId="18" type="noConversion"/>
  </si>
  <si>
    <t>0.07 (BQL)</t>
    <phoneticPr fontId="18" type="noConversion"/>
  </si>
  <si>
    <t>0.03 (BQL)</t>
    <phoneticPr fontId="18" type="noConversion"/>
  </si>
  <si>
    <r>
      <t>Blood_4</t>
    </r>
    <r>
      <rPr>
        <b/>
        <sz val="11"/>
        <color theme="1"/>
        <rFont val="맑은 고딕"/>
        <family val="2"/>
        <charset val="129"/>
      </rPr>
      <t>차</t>
    </r>
    <phoneticPr fontId="18" type="noConversion"/>
  </si>
  <si>
    <r>
      <t>AUC</t>
    </r>
    <r>
      <rPr>
        <b/>
        <vertAlign val="subscript"/>
        <sz val="12"/>
        <rFont val="Arial"/>
        <family val="2"/>
      </rPr>
      <t>0-t</t>
    </r>
    <phoneticPr fontId="18" type="noConversion"/>
  </si>
  <si>
    <r>
      <t>t</t>
    </r>
    <r>
      <rPr>
        <b/>
        <vertAlign val="subscript"/>
        <sz val="12"/>
        <rFont val="Arial"/>
        <family val="2"/>
      </rPr>
      <t>1/2</t>
    </r>
    <phoneticPr fontId="18" type="noConversion"/>
  </si>
  <si>
    <r>
      <t>t</t>
    </r>
    <r>
      <rPr>
        <b/>
        <vertAlign val="subscript"/>
        <sz val="12"/>
        <rFont val="Arial"/>
        <family val="2"/>
      </rPr>
      <t>last</t>
    </r>
    <phoneticPr fontId="18" type="noConversion"/>
  </si>
  <si>
    <r>
      <t>G2 (</t>
    </r>
    <r>
      <rPr>
        <b/>
        <sz val="12"/>
        <color rgb="FFFF0000"/>
        <rFont val="맑은 고딕"/>
        <family val="2"/>
        <charset val="129"/>
      </rPr>
      <t>재산출)</t>
    </r>
    <phoneticPr fontId="18" type="noConversion"/>
  </si>
  <si>
    <r>
      <t>G3 (</t>
    </r>
    <r>
      <rPr>
        <b/>
        <sz val="12"/>
        <color rgb="FFFF0000"/>
        <rFont val="맑은 고딕"/>
        <family val="2"/>
        <charset val="129"/>
      </rPr>
      <t>재산출)</t>
    </r>
    <phoneticPr fontId="18" type="noConversion"/>
  </si>
  <si>
    <r>
      <t>AUC</t>
    </r>
    <r>
      <rPr>
        <b/>
        <vertAlign val="subscript"/>
        <sz val="12"/>
        <rFont val="Arial"/>
        <family val="2"/>
      </rPr>
      <t>0-t</t>
    </r>
    <r>
      <rPr>
        <b/>
        <sz val="12"/>
        <rFont val="Arial"/>
        <family val="2"/>
      </rPr>
      <t>/Dose</t>
    </r>
    <phoneticPr fontId="18" type="noConversion"/>
  </si>
  <si>
    <t>NA</t>
    <phoneticPr fontId="18" type="noConversion"/>
  </si>
  <si>
    <t>ND-PLN-P2026043_ICR 마우스에서의 tacrolimus 제형에 대한 약물 동태 시험</t>
    <phoneticPr fontId="18" type="noConversion"/>
  </si>
  <si>
    <t>Group</t>
    <phoneticPr fontId="18" type="noConversion"/>
  </si>
  <si>
    <t>animal</t>
    <phoneticPr fontId="18" type="noConversion"/>
  </si>
  <si>
    <t>Day0</t>
    <phoneticPr fontId="18" type="noConversion"/>
  </si>
  <si>
    <t>Day7</t>
    <phoneticPr fontId="18" type="noConversion"/>
  </si>
  <si>
    <t>Day14</t>
    <phoneticPr fontId="18" type="noConversion"/>
  </si>
  <si>
    <t>Day21</t>
    <phoneticPr fontId="18" type="noConversion"/>
  </si>
  <si>
    <t>Day28</t>
    <phoneticPr fontId="18" type="noConversion"/>
  </si>
  <si>
    <t>Day35</t>
    <phoneticPr fontId="18" type="noConversion"/>
  </si>
  <si>
    <t>Day42</t>
    <phoneticPr fontId="18" type="noConversion"/>
  </si>
  <si>
    <t>Day49</t>
    <phoneticPr fontId="18" type="noConversion"/>
  </si>
  <si>
    <t>G1
시험물질</t>
    <phoneticPr fontId="18" type="noConversion"/>
  </si>
  <si>
    <t>G2
시험물질</t>
    <phoneticPr fontId="18" type="noConversion"/>
  </si>
  <si>
    <t>G3
시험물질</t>
    <phoneticPr fontId="18" type="noConversion"/>
  </si>
  <si>
    <t xml:space="preserve">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</si>
</sst>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_ "/>
    <numFmt numFmtId="177" formatCode="0.00.E+00"/>
    <numFmt numFmtId="178" formatCode="0.000000"/>
    <numFmt numFmtId="179" formatCode="0.00_);[Red]\(0.00\)"/>
    <numFmt numFmtId="180" formatCode="0.000"/>
    <numFmt numFmtId="181" formatCode="0.0"/>
    <numFmt numFmtId="182" formatCode="0.0000"/>
    <numFmt numFmtId="183" formatCode="0_);[Red]\(0\)"/>
    <numFmt numFmtId="184" formatCode="mm&quot;월&quot;\ dd&quot;일&quot;"/>
  </numFmts>
  <fonts count="8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vertAlign val="subscript"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 tint="-0.499984740745262"/>
      <name val="Arial"/>
      <family val="2"/>
    </font>
    <font>
      <b/>
      <sz val="11"/>
      <color rgb="FFC00000"/>
      <name val="Arial"/>
      <family val="2"/>
    </font>
    <font>
      <b/>
      <sz val="11"/>
      <color rgb="FFC00000"/>
      <name val="돋움"/>
      <family val="3"/>
      <charset val="129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vertAlign val="subscript"/>
      <sz val="10"/>
      <name val="Arial"/>
      <family val="2"/>
    </font>
    <font>
      <sz val="10"/>
      <name val="맑은 고딕"/>
      <family val="3"/>
      <charset val="129"/>
    </font>
    <font>
      <sz val="12"/>
      <name val="Segoe UI Symbo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3"/>
    </font>
    <font>
      <vertAlign val="superscript"/>
      <sz val="10"/>
      <name val="Arial"/>
      <family val="2"/>
    </font>
    <font>
      <sz val="10"/>
      <name val="Segoe UI Symbol"/>
      <family val="2"/>
    </font>
    <font>
      <vertAlign val="superscript"/>
      <sz val="11"/>
      <name val="Arial"/>
      <family val="2"/>
    </font>
    <font>
      <sz val="12"/>
      <name val="새굴림"/>
      <family val="2"/>
      <charset val="129"/>
    </font>
    <font>
      <b/>
      <sz val="11"/>
      <name val="새굴림"/>
      <family val="2"/>
      <charset val="129"/>
    </font>
    <font>
      <b/>
      <sz val="11"/>
      <name val="Arial"/>
      <family val="2"/>
      <charset val="129"/>
    </font>
    <font>
      <sz val="11"/>
      <color theme="1"/>
      <name val="새굴림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2"/>
      <color theme="1"/>
      <name val="Arial Unicode MS"/>
      <family val="2"/>
      <charset val="129"/>
    </font>
    <font>
      <sz val="12"/>
      <name val="돋움"/>
      <family val="3"/>
      <charset val="129"/>
    </font>
    <font>
      <b/>
      <sz val="12"/>
      <color rgb="FFFF0000"/>
      <name val="Arial"/>
      <family val="2"/>
    </font>
    <font>
      <b/>
      <sz val="12"/>
      <color rgb="FFFF0000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theme="8"/>
      </left>
      <right style="thin">
        <color auto="1"/>
      </right>
      <top style="medium">
        <color theme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theme="8"/>
      </top>
      <bottom style="thin">
        <color indexed="64"/>
      </bottom>
      <diagonal/>
    </border>
    <border>
      <left style="thin">
        <color auto="1"/>
      </left>
      <right style="medium">
        <color theme="8"/>
      </right>
      <top style="medium">
        <color theme="8"/>
      </top>
      <bottom style="thin">
        <color indexed="64"/>
      </bottom>
      <diagonal/>
    </border>
    <border>
      <left style="medium">
        <color theme="8"/>
      </left>
      <right style="thin">
        <color auto="1"/>
      </right>
      <top style="thin">
        <color indexed="64"/>
      </top>
      <bottom style="medium">
        <color theme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theme="8"/>
      </bottom>
      <diagonal/>
    </border>
    <border>
      <left style="thin">
        <color auto="1"/>
      </left>
      <right style="medium">
        <color theme="8"/>
      </right>
      <top style="thin">
        <color indexed="64"/>
      </top>
      <bottom style="medium">
        <color theme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0"/>
    <xf numFmtId="0" fontId="19" fillId="0" borderId="0">
      <alignment vertical="center"/>
    </xf>
    <xf numFmtId="0" fontId="44" fillId="0" borderId="0"/>
    <xf numFmtId="0" fontId="45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2" fillId="0" borderId="0" xfId="42" applyFont="1" applyAlignment="1">
      <alignment vertical="center" wrapText="1"/>
    </xf>
    <xf numFmtId="0" fontId="22" fillId="0" borderId="0" xfId="42" applyFont="1">
      <alignment vertical="center"/>
    </xf>
    <xf numFmtId="0" fontId="22" fillId="0" borderId="21" xfId="0" applyFont="1" applyBorder="1" applyAlignment="1">
      <alignment horizontal="center" vertical="center" wrapText="1"/>
    </xf>
    <xf numFmtId="0" fontId="21" fillId="0" borderId="17" xfId="43" applyFont="1" applyBorder="1" applyAlignment="1">
      <alignment horizontal="center" vertical="center"/>
    </xf>
    <xf numFmtId="0" fontId="22" fillId="0" borderId="17" xfId="43" applyFont="1" applyBorder="1" applyAlignment="1">
      <alignment horizontal="center" vertical="center"/>
    </xf>
    <xf numFmtId="0" fontId="21" fillId="0" borderId="0" xfId="42" applyFont="1" applyAlignment="1">
      <alignment vertical="center" wrapText="1"/>
    </xf>
    <xf numFmtId="0" fontId="22" fillId="0" borderId="16" xfId="43" applyFont="1" applyBorder="1" applyAlignment="1">
      <alignment horizontal="center" vertical="center"/>
    </xf>
    <xf numFmtId="0" fontId="42" fillId="0" borderId="0" xfId="0" applyFont="1">
      <alignment vertical="center"/>
    </xf>
    <xf numFmtId="0" fontId="22" fillId="0" borderId="21" xfId="43" applyFont="1" applyBorder="1" applyAlignment="1">
      <alignment horizontal="center" vertical="center"/>
    </xf>
    <xf numFmtId="0" fontId="21" fillId="0" borderId="0" xfId="43" applyFont="1">
      <alignment vertical="center"/>
    </xf>
    <xf numFmtId="176" fontId="21" fillId="0" borderId="0" xfId="0" applyNumberFormat="1" applyFont="1" applyAlignment="1">
      <alignment horizontal="center" vertical="center"/>
    </xf>
    <xf numFmtId="176" fontId="21" fillId="0" borderId="0" xfId="43" quotePrefix="1" applyNumberFormat="1" applyFont="1" applyAlignment="1">
      <alignment horizontal="center" vertical="center"/>
    </xf>
    <xf numFmtId="0" fontId="21" fillId="0" borderId="0" xfId="42" applyFont="1" applyAlignment="1"/>
    <xf numFmtId="0" fontId="21" fillId="0" borderId="0" xfId="42" applyFont="1" applyAlignment="1">
      <alignment vertical="top" wrapText="1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0" fontId="42" fillId="33" borderId="11" xfId="0" applyFont="1" applyFill="1" applyBorder="1">
      <alignment vertical="center"/>
    </xf>
    <xf numFmtId="0" fontId="42" fillId="33" borderId="12" xfId="0" applyFont="1" applyFill="1" applyBorder="1">
      <alignment vertical="center"/>
    </xf>
    <xf numFmtId="0" fontId="42" fillId="33" borderId="13" xfId="0" applyFont="1" applyFill="1" applyBorder="1">
      <alignment vertical="center"/>
    </xf>
    <xf numFmtId="0" fontId="46" fillId="33" borderId="14" xfId="0" applyFont="1" applyFill="1" applyBorder="1">
      <alignment vertical="center"/>
    </xf>
    <xf numFmtId="0" fontId="46" fillId="33" borderId="0" xfId="0" applyFont="1" applyFill="1">
      <alignment vertical="center"/>
    </xf>
    <xf numFmtId="0" fontId="46" fillId="33" borderId="22" xfId="0" applyFont="1" applyFill="1" applyBorder="1">
      <alignment vertical="center"/>
    </xf>
    <xf numFmtId="0" fontId="46" fillId="33" borderId="23" xfId="0" applyFont="1" applyFill="1" applyBorder="1">
      <alignment vertical="center"/>
    </xf>
    <xf numFmtId="0" fontId="46" fillId="33" borderId="10" xfId="0" applyFont="1" applyFill="1" applyBorder="1">
      <alignment vertical="center"/>
    </xf>
    <xf numFmtId="0" fontId="46" fillId="33" borderId="24" xfId="0" applyFont="1" applyFill="1" applyBorder="1">
      <alignment vertical="center"/>
    </xf>
    <xf numFmtId="0" fontId="46" fillId="0" borderId="0" xfId="0" applyFont="1" applyAlignment="1">
      <alignment horizontal="left" vertical="center"/>
    </xf>
    <xf numFmtId="11" fontId="46" fillId="0" borderId="0" xfId="0" applyNumberFormat="1" applyFont="1">
      <alignment vertical="center"/>
    </xf>
    <xf numFmtId="0" fontId="46" fillId="0" borderId="21" xfId="0" applyFont="1" applyBorder="1" applyAlignment="1">
      <alignment horizontal="center" vertical="center"/>
    </xf>
    <xf numFmtId="2" fontId="19" fillId="0" borderId="21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6" fillId="35" borderId="0" xfId="0" applyFont="1" applyFill="1">
      <alignment vertical="center"/>
    </xf>
    <xf numFmtId="0" fontId="51" fillId="36" borderId="0" xfId="0" applyFont="1" applyFill="1">
      <alignment vertical="center"/>
    </xf>
    <xf numFmtId="0" fontId="46" fillId="36" borderId="0" xfId="0" applyFont="1" applyFill="1">
      <alignment vertical="center"/>
    </xf>
    <xf numFmtId="0" fontId="52" fillId="36" borderId="0" xfId="0" applyFont="1" applyFill="1">
      <alignment vertical="center"/>
    </xf>
    <xf numFmtId="0" fontId="19" fillId="36" borderId="0" xfId="0" applyFont="1" applyFill="1">
      <alignment vertical="center"/>
    </xf>
    <xf numFmtId="0" fontId="51" fillId="38" borderId="0" xfId="0" applyFont="1" applyFill="1">
      <alignment vertical="center"/>
    </xf>
    <xf numFmtId="0" fontId="51" fillId="35" borderId="0" xfId="0" applyFont="1" applyFill="1">
      <alignment vertical="center"/>
    </xf>
    <xf numFmtId="0" fontId="51" fillId="0" borderId="0" xfId="0" applyFont="1">
      <alignment vertical="center"/>
    </xf>
    <xf numFmtId="0" fontId="19" fillId="0" borderId="21" xfId="0" applyFont="1" applyBorder="1" applyAlignment="1">
      <alignment horizontal="center" vertical="center"/>
    </xf>
    <xf numFmtId="11" fontId="46" fillId="0" borderId="2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7" fontId="46" fillId="0" borderId="0" xfId="0" applyNumberFormat="1" applyFont="1">
      <alignment vertical="center"/>
    </xf>
    <xf numFmtId="0" fontId="19" fillId="0" borderId="21" xfId="0" applyFont="1" applyBorder="1" applyAlignment="1">
      <alignment horizontal="center" vertical="center" wrapText="1"/>
    </xf>
    <xf numFmtId="0" fontId="19" fillId="35" borderId="0" xfId="0" applyFont="1" applyFill="1">
      <alignment vertical="center"/>
    </xf>
    <xf numFmtId="0" fontId="51" fillId="37" borderId="0" xfId="0" applyFont="1" applyFill="1" applyAlignment="1">
      <alignment horizontal="left" vertical="center"/>
    </xf>
    <xf numFmtId="0" fontId="51" fillId="37" borderId="0" xfId="0" applyFont="1" applyFill="1" applyAlignment="1">
      <alignment horizontal="center" vertical="center"/>
    </xf>
    <xf numFmtId="0" fontId="51" fillId="37" borderId="0" xfId="0" applyFont="1" applyFill="1">
      <alignment vertical="center"/>
    </xf>
    <xf numFmtId="0" fontId="53" fillId="0" borderId="21" xfId="0" applyFont="1" applyBorder="1" applyAlignment="1">
      <alignment horizontal="center" vertical="center" wrapText="1"/>
    </xf>
    <xf numFmtId="0" fontId="54" fillId="0" borderId="0" xfId="0" applyFont="1">
      <alignment vertical="center"/>
    </xf>
    <xf numFmtId="0" fontId="55" fillId="39" borderId="0" xfId="0" applyFont="1" applyFill="1">
      <alignment vertical="center"/>
    </xf>
    <xf numFmtId="0" fontId="46" fillId="40" borderId="0" xfId="0" applyFont="1" applyFill="1">
      <alignment vertical="center"/>
    </xf>
    <xf numFmtId="0" fontId="56" fillId="0" borderId="0" xfId="0" applyFont="1">
      <alignment vertical="center"/>
    </xf>
    <xf numFmtId="0" fontId="40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21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6" fillId="37" borderId="21" xfId="0" applyFont="1" applyFill="1" applyBorder="1" applyAlignment="1">
      <alignment horizontal="center" vertical="center"/>
    </xf>
    <xf numFmtId="0" fontId="22" fillId="0" borderId="18" xfId="43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63" fillId="36" borderId="0" xfId="0" applyFont="1" applyFill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180" fontId="40" fillId="0" borderId="19" xfId="0" applyNumberFormat="1" applyFont="1" applyBorder="1" applyAlignment="1">
      <alignment horizontal="center" vertical="center"/>
    </xf>
    <xf numFmtId="180" fontId="40" fillId="0" borderId="21" xfId="0" applyNumberFormat="1" applyFont="1" applyBorder="1" applyAlignment="1">
      <alignment horizontal="center" vertical="center"/>
    </xf>
    <xf numFmtId="180" fontId="40" fillId="0" borderId="15" xfId="0" applyNumberFormat="1" applyFont="1" applyBorder="1" applyAlignment="1">
      <alignment horizontal="center" vertical="center"/>
    </xf>
    <xf numFmtId="180" fontId="40" fillId="0" borderId="24" xfId="0" applyNumberFormat="1" applyFont="1" applyBorder="1" applyAlignment="1">
      <alignment horizontal="center" vertical="center"/>
    </xf>
    <xf numFmtId="180" fontId="40" fillId="0" borderId="16" xfId="0" applyNumberFormat="1" applyFont="1" applyBorder="1" applyAlignment="1">
      <alignment horizontal="center" vertical="center"/>
    </xf>
    <xf numFmtId="180" fontId="40" fillId="0" borderId="10" xfId="0" applyNumberFormat="1" applyFont="1" applyBorder="1" applyAlignment="1">
      <alignment horizontal="center" vertical="center"/>
    </xf>
    <xf numFmtId="0" fontId="40" fillId="0" borderId="12" xfId="0" applyFont="1" applyBorder="1">
      <alignment vertical="center"/>
    </xf>
    <xf numFmtId="0" fontId="40" fillId="0" borderId="0" xfId="0" applyFont="1">
      <alignment vertical="center"/>
    </xf>
    <xf numFmtId="0" fontId="56" fillId="0" borderId="0" xfId="0" applyFont="1" applyAlignment="1">
      <alignment horizontal="right" vertical="center"/>
    </xf>
    <xf numFmtId="178" fontId="19" fillId="0" borderId="21" xfId="0" applyNumberFormat="1" applyFont="1" applyBorder="1" applyAlignment="1">
      <alignment horizontal="center" vertical="center"/>
    </xf>
    <xf numFmtId="182" fontId="19" fillId="0" borderId="2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9" fillId="0" borderId="20" xfId="0" applyFont="1" applyBorder="1" applyAlignment="1">
      <alignment horizontal="center" vertical="center"/>
    </xf>
    <xf numFmtId="182" fontId="19" fillId="0" borderId="20" xfId="0" applyNumberFormat="1" applyFont="1" applyBorder="1" applyAlignment="1">
      <alignment horizontal="center" vertical="center"/>
    </xf>
    <xf numFmtId="182" fontId="19" fillId="0" borderId="0" xfId="0" applyNumberFormat="1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82" fontId="19" fillId="0" borderId="14" xfId="0" applyNumberFormat="1" applyFont="1" applyBorder="1" applyAlignment="1">
      <alignment horizontal="center" vertical="center"/>
    </xf>
    <xf numFmtId="0" fontId="72" fillId="0" borderId="10" xfId="0" applyFont="1" applyBorder="1">
      <alignment vertical="center"/>
    </xf>
    <xf numFmtId="180" fontId="46" fillId="0" borderId="0" xfId="0" applyNumberFormat="1" applyFont="1">
      <alignment vertical="center"/>
    </xf>
    <xf numFmtId="0" fontId="21" fillId="0" borderId="16" xfId="43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46" fillId="0" borderId="21" xfId="90" applyNumberFormat="1" applyFont="1" applyBorder="1" applyAlignment="1">
      <alignment horizontal="center" vertical="center"/>
    </xf>
    <xf numFmtId="180" fontId="56" fillId="0" borderId="0" xfId="0" applyNumberFormat="1" applyFont="1">
      <alignment vertical="center"/>
    </xf>
    <xf numFmtId="0" fontId="21" fillId="0" borderId="18" xfId="0" applyFont="1" applyBorder="1" applyAlignment="1">
      <alignment horizontal="center" vertical="center" wrapText="1"/>
    </xf>
    <xf numFmtId="0" fontId="62" fillId="0" borderId="21" xfId="0" applyFont="1" applyBorder="1" applyAlignment="1">
      <alignment horizontal="center" vertical="center"/>
    </xf>
    <xf numFmtId="0" fontId="22" fillId="0" borderId="19" xfId="42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0" fontId="62" fillId="0" borderId="0" xfId="0" applyFont="1">
      <alignment vertical="center"/>
    </xf>
    <xf numFmtId="0" fontId="22" fillId="0" borderId="21" xfId="42" applyFont="1" applyBorder="1" applyAlignment="1">
      <alignment horizontal="center" vertical="center" wrapText="1"/>
    </xf>
    <xf numFmtId="11" fontId="46" fillId="0" borderId="20" xfId="0" applyNumberFormat="1" applyFont="1" applyBorder="1" applyAlignment="1">
      <alignment horizontal="center" vertical="center"/>
    </xf>
    <xf numFmtId="179" fontId="46" fillId="0" borderId="0" xfId="90" applyNumberFormat="1" applyFont="1" applyBorder="1" applyAlignment="1">
      <alignment horizontal="center" vertical="center"/>
    </xf>
    <xf numFmtId="0" fontId="46" fillId="0" borderId="14" xfId="0" applyFont="1" applyBorder="1">
      <alignment vertical="center"/>
    </xf>
    <xf numFmtId="0" fontId="42" fillId="0" borderId="21" xfId="0" applyFont="1" applyBorder="1" applyAlignment="1">
      <alignment horizontal="center" vertical="center"/>
    </xf>
    <xf numFmtId="11" fontId="42" fillId="0" borderId="21" xfId="0" applyNumberFormat="1" applyFont="1" applyBorder="1" applyAlignment="1">
      <alignment horizontal="center" vertical="center"/>
    </xf>
    <xf numFmtId="183" fontId="42" fillId="0" borderId="21" xfId="91" applyNumberFormat="1" applyFont="1" applyBorder="1" applyAlignment="1">
      <alignment horizontal="center" vertical="center"/>
    </xf>
    <xf numFmtId="0" fontId="53" fillId="34" borderId="21" xfId="0" applyFont="1" applyFill="1" applyBorder="1" applyAlignment="1">
      <alignment horizontal="center" vertical="center" wrapText="1"/>
    </xf>
    <xf numFmtId="2" fontId="19" fillId="34" borderId="21" xfId="0" applyNumberFormat="1" applyFont="1" applyFill="1" applyBorder="1" applyAlignment="1">
      <alignment horizontal="center" vertical="center"/>
    </xf>
    <xf numFmtId="2" fontId="46" fillId="34" borderId="21" xfId="0" applyNumberFormat="1" applyFont="1" applyFill="1" applyBorder="1" applyAlignment="1">
      <alignment horizontal="center" vertical="center"/>
    </xf>
    <xf numFmtId="0" fontId="22" fillId="0" borderId="20" xfId="42" applyFont="1" applyBorder="1" applyAlignment="1">
      <alignment horizontal="center" vertical="center" wrapText="1"/>
    </xf>
    <xf numFmtId="2" fontId="21" fillId="0" borderId="18" xfId="43" applyNumberFormat="1" applyFont="1" applyBorder="1" applyAlignment="1">
      <alignment horizontal="center" vertical="center"/>
    </xf>
    <xf numFmtId="2" fontId="21" fillId="0" borderId="17" xfId="43" applyNumberFormat="1" applyFont="1" applyBorder="1" applyAlignment="1">
      <alignment horizontal="center" vertical="center"/>
    </xf>
    <xf numFmtId="2" fontId="21" fillId="0" borderId="16" xfId="43" applyNumberFormat="1" applyFont="1" applyBorder="1" applyAlignment="1">
      <alignment horizontal="center" vertical="center"/>
    </xf>
    <xf numFmtId="0" fontId="51" fillId="41" borderId="0" xfId="0" applyFont="1" applyFill="1">
      <alignment vertical="center"/>
    </xf>
    <xf numFmtId="0" fontId="51" fillId="42" borderId="0" xfId="0" applyFont="1" applyFill="1" applyAlignment="1">
      <alignment horizontal="left" vertical="center"/>
    </xf>
    <xf numFmtId="0" fontId="51" fillId="42" borderId="0" xfId="0" applyFont="1" applyFill="1" applyAlignment="1">
      <alignment horizontal="center" vertical="center"/>
    </xf>
    <xf numFmtId="0" fontId="51" fillId="42" borderId="0" xfId="0" applyFont="1" applyFill="1">
      <alignment vertical="center"/>
    </xf>
    <xf numFmtId="0" fontId="46" fillId="42" borderId="21" xfId="0" applyFont="1" applyFill="1" applyBorder="1" applyAlignment="1">
      <alignment horizontal="center" vertical="center"/>
    </xf>
    <xf numFmtId="0" fontId="53" fillId="34" borderId="18" xfId="0" applyFont="1" applyFill="1" applyBorder="1" applyAlignment="1">
      <alignment horizontal="center" vertical="center" wrapText="1"/>
    </xf>
    <xf numFmtId="2" fontId="19" fillId="34" borderId="18" xfId="0" applyNumberFormat="1" applyFont="1" applyFill="1" applyBorder="1" applyAlignment="1">
      <alignment horizontal="center" vertical="center"/>
    </xf>
    <xf numFmtId="2" fontId="46" fillId="34" borderId="18" xfId="0" applyNumberFormat="1" applyFont="1" applyFill="1" applyBorder="1" applyAlignment="1">
      <alignment horizontal="center" vertical="center"/>
    </xf>
    <xf numFmtId="0" fontId="51" fillId="43" borderId="0" xfId="0" applyFont="1" applyFill="1">
      <alignment vertical="center"/>
    </xf>
    <xf numFmtId="0" fontId="51" fillId="44" borderId="0" xfId="0" applyFont="1" applyFill="1" applyAlignment="1">
      <alignment horizontal="left" vertical="center"/>
    </xf>
    <xf numFmtId="0" fontId="51" fillId="44" borderId="0" xfId="0" applyFont="1" applyFill="1" applyAlignment="1">
      <alignment horizontal="center" vertical="center"/>
    </xf>
    <xf numFmtId="0" fontId="51" fillId="44" borderId="0" xfId="0" applyFont="1" applyFill="1">
      <alignment vertical="center"/>
    </xf>
    <xf numFmtId="0" fontId="46" fillId="44" borderId="21" xfId="0" applyFont="1" applyFill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2" fontId="19" fillId="0" borderId="18" xfId="0" applyNumberFormat="1" applyFont="1" applyBorder="1" applyAlignment="1">
      <alignment horizontal="center" vertical="center"/>
    </xf>
    <xf numFmtId="2" fontId="46" fillId="0" borderId="18" xfId="0" applyNumberFormat="1" applyFont="1" applyBorder="1" applyAlignment="1">
      <alignment horizontal="center" vertical="center"/>
    </xf>
    <xf numFmtId="0" fontId="53" fillId="34" borderId="26" xfId="0" applyFont="1" applyFill="1" applyBorder="1" applyAlignment="1">
      <alignment horizontal="center" vertical="center" wrapText="1"/>
    </xf>
    <xf numFmtId="2" fontId="19" fillId="34" borderId="27" xfId="0" applyNumberFormat="1" applyFont="1" applyFill="1" applyBorder="1" applyAlignment="1">
      <alignment horizontal="center" vertical="center"/>
    </xf>
    <xf numFmtId="2" fontId="46" fillId="34" borderId="27" xfId="0" applyNumberFormat="1" applyFont="1" applyFill="1" applyBorder="1" applyAlignment="1">
      <alignment horizontal="center" vertical="center"/>
    </xf>
    <xf numFmtId="2" fontId="46" fillId="34" borderId="28" xfId="0" applyNumberFormat="1" applyFont="1" applyFill="1" applyBorder="1" applyAlignment="1">
      <alignment horizontal="center" vertical="center"/>
    </xf>
    <xf numFmtId="0" fontId="53" fillId="0" borderId="29" xfId="0" applyFont="1" applyBorder="1" applyAlignment="1">
      <alignment horizontal="center" vertical="center" wrapText="1"/>
    </xf>
    <xf numFmtId="2" fontId="19" fillId="0" borderId="30" xfId="0" applyNumberFormat="1" applyFont="1" applyBorder="1" applyAlignment="1">
      <alignment horizontal="center" vertical="center"/>
    </xf>
    <xf numFmtId="2" fontId="46" fillId="0" borderId="30" xfId="0" applyNumberFormat="1" applyFont="1" applyBorder="1" applyAlignment="1">
      <alignment horizontal="center" vertical="center"/>
    </xf>
    <xf numFmtId="2" fontId="46" fillId="0" borderId="31" xfId="0" applyNumberFormat="1" applyFont="1" applyBorder="1" applyAlignment="1">
      <alignment horizontal="center" vertical="center"/>
    </xf>
    <xf numFmtId="0" fontId="51" fillId="45" borderId="0" xfId="0" applyFont="1" applyFill="1">
      <alignment vertical="center"/>
    </xf>
    <xf numFmtId="0" fontId="51" fillId="46" borderId="0" xfId="0" applyFont="1" applyFill="1" applyAlignment="1">
      <alignment horizontal="left" vertical="center"/>
    </xf>
    <xf numFmtId="0" fontId="51" fillId="46" borderId="0" xfId="0" applyFont="1" applyFill="1" applyAlignment="1">
      <alignment horizontal="center" vertical="center"/>
    </xf>
    <xf numFmtId="0" fontId="51" fillId="46" borderId="0" xfId="0" applyFont="1" applyFill="1">
      <alignment vertical="center"/>
    </xf>
    <xf numFmtId="0" fontId="46" fillId="46" borderId="21" xfId="0" applyFont="1" applyFill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78" fillId="0" borderId="21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42" fillId="0" borderId="20" xfId="0" applyFont="1" applyBorder="1" applyAlignment="1">
      <alignment horizontal="left" vertical="center"/>
    </xf>
    <xf numFmtId="0" fontId="42" fillId="0" borderId="15" xfId="0" applyFont="1" applyBorder="1" applyAlignment="1">
      <alignment horizontal="left" vertical="center"/>
    </xf>
    <xf numFmtId="0" fontId="42" fillId="0" borderId="19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22" fillId="0" borderId="25" xfId="42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0" fontId="42" fillId="37" borderId="20" xfId="0" applyFont="1" applyFill="1" applyBorder="1" applyAlignment="1">
      <alignment horizontal="center" vertical="center"/>
    </xf>
    <xf numFmtId="0" fontId="42" fillId="37" borderId="19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34" borderId="15" xfId="0" applyFont="1" applyFill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/>
    </xf>
    <xf numFmtId="0" fontId="40" fillId="0" borderId="12" xfId="0" applyFont="1" applyBorder="1" applyAlignment="1">
      <alignment horizontal="left" vertical="center"/>
    </xf>
    <xf numFmtId="0" fontId="40" fillId="0" borderId="12" xfId="0" applyFont="1" applyBorder="1" applyAlignment="1">
      <alignment horizontal="center" vertical="center"/>
    </xf>
    <xf numFmtId="0" fontId="40" fillId="0" borderId="23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182" fontId="40" fillId="0" borderId="20" xfId="0" applyNumberFormat="1" applyFont="1" applyBorder="1" applyAlignment="1">
      <alignment horizontal="center" vertical="center"/>
    </xf>
    <xf numFmtId="182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181" fontId="40" fillId="0" borderId="23" xfId="0" applyNumberFormat="1" applyFont="1" applyBorder="1" applyAlignment="1">
      <alignment horizontal="center" vertical="center"/>
    </xf>
    <xf numFmtId="181" fontId="40" fillId="0" borderId="24" xfId="0" applyNumberFormat="1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181" fontId="40" fillId="0" borderId="20" xfId="0" applyNumberFormat="1" applyFont="1" applyBorder="1" applyAlignment="1">
      <alignment horizontal="center" vertical="center"/>
    </xf>
    <xf numFmtId="181" fontId="40" fillId="0" borderId="15" xfId="0" applyNumberFormat="1" applyFont="1" applyBorder="1" applyAlignment="1">
      <alignment horizontal="center" vertical="center"/>
    </xf>
    <xf numFmtId="181" fontId="40" fillId="0" borderId="11" xfId="0" applyNumberFormat="1" applyFont="1" applyBorder="1" applyAlignment="1">
      <alignment horizontal="center" vertical="center"/>
    </xf>
    <xf numFmtId="181" fontId="40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0" xfId="0" applyFont="1">
      <alignment vertical="center"/>
    </xf>
    <xf numFmtId="0" fontId="0" fillId="35" borderId="35" xfId="0" applyFill="1" applyBorder="1" applyAlignment="1">
      <alignment horizontal="center" vertical="center"/>
    </xf>
    <xf numFmtId="0" fontId="0" fillId="35" borderId="36" xfId="0" applyFill="1" applyBorder="1" applyAlignment="1">
      <alignment horizontal="center" vertical="center"/>
    </xf>
    <xf numFmtId="0" fontId="0" fillId="35" borderId="37" xfId="0" applyFill="1" applyBorder="1" applyAlignment="1">
      <alignment horizontal="center" vertical="center"/>
    </xf>
    <xf numFmtId="0" fontId="0" fillId="35" borderId="38" xfId="0" applyFill="1" applyBorder="1" applyAlignment="1">
      <alignment horizontal="center" vertical="center"/>
    </xf>
    <xf numFmtId="0" fontId="0" fillId="35" borderId="39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184" fontId="0" fillId="35" borderId="21" xfId="0" applyNumberFormat="1" applyFill="1" applyBorder="1" applyAlignment="1">
      <alignment horizontal="center" vertical="center"/>
    </xf>
    <xf numFmtId="184" fontId="0" fillId="35" borderId="40" xfId="0" applyNumberForma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81" fontId="0" fillId="0" borderId="21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81" fontId="0" fillId="0" borderId="40" xfId="0" applyNumberFormat="1" applyBorder="1" applyAlignment="1">
      <alignment horizontal="center" vertical="center"/>
    </xf>
    <xf numFmtId="0" fontId="0" fillId="47" borderId="42" xfId="0" applyFill="1" applyBorder="1" applyAlignment="1">
      <alignment horizontal="center" vertical="center"/>
    </xf>
    <xf numFmtId="0" fontId="0" fillId="47" borderId="43" xfId="0" applyFill="1" applyBorder="1" applyAlignment="1">
      <alignment horizontal="center" vertical="center"/>
    </xf>
    <xf numFmtId="2" fontId="0" fillId="47" borderId="37" xfId="0" applyNumberFormat="1" applyFill="1" applyBorder="1" applyAlignment="1">
      <alignment horizontal="center" vertical="center"/>
    </xf>
    <xf numFmtId="2" fontId="0" fillId="47" borderId="38" xfId="0" applyNumberFormat="1" applyFill="1" applyBorder="1" applyAlignment="1">
      <alignment horizontal="center" vertical="center"/>
    </xf>
    <xf numFmtId="0" fontId="0" fillId="48" borderId="44" xfId="0" applyFill="1" applyBorder="1" applyAlignment="1">
      <alignment horizontal="center" vertical="center"/>
    </xf>
    <xf numFmtId="0" fontId="0" fillId="48" borderId="45" xfId="0" applyFill="1" applyBorder="1" applyAlignment="1">
      <alignment horizontal="center" vertical="center"/>
    </xf>
    <xf numFmtId="181" fontId="0" fillId="48" borderId="46" xfId="0" applyNumberFormat="1" applyFill="1" applyBorder="1" applyAlignment="1">
      <alignment horizontal="center" vertical="center"/>
    </xf>
    <xf numFmtId="181" fontId="0" fillId="48" borderId="47" xfId="0" applyNumberForma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92">
    <cellStyle name="20% - 강조색1" xfId="19" builtinId="30" customBuiltin="1"/>
    <cellStyle name="20% - 강조색1 2" xfId="45" xr:uid="{00000000-0005-0000-0000-000001000000}"/>
    <cellStyle name="20% - 강조색2" xfId="23" builtinId="34" customBuiltin="1"/>
    <cellStyle name="20% - 강조색2 2" xfId="46" xr:uid="{00000000-0005-0000-0000-000003000000}"/>
    <cellStyle name="20% - 강조색3" xfId="27" builtinId="38" customBuiltin="1"/>
    <cellStyle name="20% - 강조색3 2" xfId="47" xr:uid="{00000000-0005-0000-0000-000005000000}"/>
    <cellStyle name="20% - 강조색4" xfId="31" builtinId="42" customBuiltin="1"/>
    <cellStyle name="20% - 강조색4 2" xfId="48" xr:uid="{00000000-0005-0000-0000-000007000000}"/>
    <cellStyle name="20% - 강조색5" xfId="35" builtinId="46" customBuiltin="1"/>
    <cellStyle name="20% - 강조색5 2" xfId="49" xr:uid="{00000000-0005-0000-0000-000009000000}"/>
    <cellStyle name="20% - 강조색6" xfId="39" builtinId="50" customBuiltin="1"/>
    <cellStyle name="20% - 강조색6 2" xfId="50" xr:uid="{00000000-0005-0000-0000-00000B000000}"/>
    <cellStyle name="40% - 강조색1" xfId="20" builtinId="31" customBuiltin="1"/>
    <cellStyle name="40% - 강조색1 2" xfId="51" xr:uid="{00000000-0005-0000-0000-00000D000000}"/>
    <cellStyle name="40% - 강조색2" xfId="24" builtinId="35" customBuiltin="1"/>
    <cellStyle name="40% - 강조색2 2" xfId="52" xr:uid="{00000000-0005-0000-0000-00000F000000}"/>
    <cellStyle name="40% - 강조색3" xfId="28" builtinId="39" customBuiltin="1"/>
    <cellStyle name="40% - 강조색3 2" xfId="53" xr:uid="{00000000-0005-0000-0000-000011000000}"/>
    <cellStyle name="40% - 강조색4" xfId="32" builtinId="43" customBuiltin="1"/>
    <cellStyle name="40% - 강조색4 2" xfId="54" xr:uid="{00000000-0005-0000-0000-000013000000}"/>
    <cellStyle name="40% - 강조색5" xfId="36" builtinId="47" customBuiltin="1"/>
    <cellStyle name="40% - 강조색5 2" xfId="55" xr:uid="{00000000-0005-0000-0000-000015000000}"/>
    <cellStyle name="40% - 강조색6" xfId="40" builtinId="51" customBuiltin="1"/>
    <cellStyle name="40% - 강조색6 2" xfId="56" xr:uid="{00000000-0005-0000-0000-000017000000}"/>
    <cellStyle name="60% - 강조색1" xfId="21" builtinId="32" customBuiltin="1"/>
    <cellStyle name="60% - 강조색1 2" xfId="57" xr:uid="{00000000-0005-0000-0000-000019000000}"/>
    <cellStyle name="60% - 강조색2" xfId="25" builtinId="36" customBuiltin="1"/>
    <cellStyle name="60% - 강조색2 2" xfId="58" xr:uid="{00000000-0005-0000-0000-00001B000000}"/>
    <cellStyle name="60% - 강조색3" xfId="29" builtinId="40" customBuiltin="1"/>
    <cellStyle name="60% - 강조색3 2" xfId="59" xr:uid="{00000000-0005-0000-0000-00001D000000}"/>
    <cellStyle name="60% - 강조색4" xfId="33" builtinId="44" customBuiltin="1"/>
    <cellStyle name="60% - 강조색4 2" xfId="60" xr:uid="{00000000-0005-0000-0000-00001F000000}"/>
    <cellStyle name="60% - 강조색5" xfId="37" builtinId="48" customBuiltin="1"/>
    <cellStyle name="60% - 강조색5 2" xfId="61" xr:uid="{00000000-0005-0000-0000-000021000000}"/>
    <cellStyle name="60% - 강조색6" xfId="41" builtinId="52" customBuiltin="1"/>
    <cellStyle name="60% - 강조색6 2" xfId="62" xr:uid="{00000000-0005-0000-0000-000023000000}"/>
    <cellStyle name="강조색1" xfId="18" builtinId="29" customBuiltin="1"/>
    <cellStyle name="강조색1 2" xfId="63" xr:uid="{00000000-0005-0000-0000-000025000000}"/>
    <cellStyle name="강조색2" xfId="22" builtinId="33" customBuiltin="1"/>
    <cellStyle name="강조색2 2" xfId="64" xr:uid="{00000000-0005-0000-0000-000027000000}"/>
    <cellStyle name="강조색3" xfId="26" builtinId="37" customBuiltin="1"/>
    <cellStyle name="강조색3 2" xfId="65" xr:uid="{00000000-0005-0000-0000-000029000000}"/>
    <cellStyle name="강조색4" xfId="30" builtinId="41" customBuiltin="1"/>
    <cellStyle name="강조색4 2" xfId="66" xr:uid="{00000000-0005-0000-0000-00002B000000}"/>
    <cellStyle name="강조색5" xfId="34" builtinId="45" customBuiltin="1"/>
    <cellStyle name="강조색5 2" xfId="67" xr:uid="{00000000-0005-0000-0000-00002D000000}"/>
    <cellStyle name="강조색6" xfId="38" builtinId="49" customBuiltin="1"/>
    <cellStyle name="강조색6 2" xfId="68" xr:uid="{00000000-0005-0000-0000-00002F000000}"/>
    <cellStyle name="경고문" xfId="14" builtinId="11" customBuiltin="1"/>
    <cellStyle name="경고문 2" xfId="69" xr:uid="{00000000-0005-0000-0000-000031000000}"/>
    <cellStyle name="계산" xfId="11" builtinId="22" customBuiltin="1"/>
    <cellStyle name="계산 2" xfId="70" xr:uid="{00000000-0005-0000-0000-000033000000}"/>
    <cellStyle name="나쁨" xfId="7" builtinId="27" customBuiltin="1"/>
    <cellStyle name="나쁨 2" xfId="71" xr:uid="{00000000-0005-0000-0000-000035000000}"/>
    <cellStyle name="메모" xfId="15" builtinId="10" customBuiltin="1"/>
    <cellStyle name="메모 2" xfId="72" xr:uid="{00000000-0005-0000-0000-000037000000}"/>
    <cellStyle name="백분율" xfId="91" builtinId="5"/>
    <cellStyle name="보통" xfId="8" builtinId="28" customBuiltin="1"/>
    <cellStyle name="보통 2" xfId="73" xr:uid="{00000000-0005-0000-0000-00003A000000}"/>
    <cellStyle name="설명 텍스트" xfId="16" builtinId="53" customBuiltin="1"/>
    <cellStyle name="설명 텍스트 2" xfId="74" xr:uid="{00000000-0005-0000-0000-00003C000000}"/>
    <cellStyle name="셀 확인" xfId="13" builtinId="23" customBuiltin="1"/>
    <cellStyle name="셀 확인 2" xfId="75" xr:uid="{00000000-0005-0000-0000-00003E000000}"/>
    <cellStyle name="쉼표 [0]" xfId="90" builtinId="6"/>
    <cellStyle name="연결된 셀" xfId="12" builtinId="24" customBuiltin="1"/>
    <cellStyle name="연결된 셀 2" xfId="76" xr:uid="{00000000-0005-0000-0000-000041000000}"/>
    <cellStyle name="요약" xfId="17" builtinId="25" customBuiltin="1"/>
    <cellStyle name="요약 2" xfId="77" xr:uid="{00000000-0005-0000-0000-000043000000}"/>
    <cellStyle name="입력" xfId="9" builtinId="20" customBuiltin="1"/>
    <cellStyle name="입력 2" xfId="78" xr:uid="{00000000-0005-0000-0000-000045000000}"/>
    <cellStyle name="제목" xfId="1" builtinId="15" customBuiltin="1"/>
    <cellStyle name="제목 1" xfId="2" builtinId="16" customBuiltin="1"/>
    <cellStyle name="제목 1 2" xfId="80" xr:uid="{00000000-0005-0000-0000-000048000000}"/>
    <cellStyle name="제목 2" xfId="3" builtinId="17" customBuiltin="1"/>
    <cellStyle name="제목 2 2" xfId="81" xr:uid="{00000000-0005-0000-0000-00004A000000}"/>
    <cellStyle name="제목 3" xfId="4" builtinId="18" customBuiltin="1"/>
    <cellStyle name="제목 3 2" xfId="82" xr:uid="{00000000-0005-0000-0000-00004C000000}"/>
    <cellStyle name="제목 4" xfId="5" builtinId="19" customBuiltin="1"/>
    <cellStyle name="제목 4 2" xfId="83" xr:uid="{00000000-0005-0000-0000-00004E000000}"/>
    <cellStyle name="제목 5" xfId="79" xr:uid="{00000000-0005-0000-0000-00004F000000}"/>
    <cellStyle name="좋음" xfId="6" builtinId="26" customBuiltin="1"/>
    <cellStyle name="좋음 2" xfId="84" xr:uid="{00000000-0005-0000-0000-000051000000}"/>
    <cellStyle name="출력" xfId="10" builtinId="21" customBuiltin="1"/>
    <cellStyle name="출력 2" xfId="85" xr:uid="{00000000-0005-0000-0000-000053000000}"/>
    <cellStyle name="표준" xfId="0" builtinId="0"/>
    <cellStyle name="표준 2" xfId="42" xr:uid="{00000000-0005-0000-0000-000055000000}"/>
    <cellStyle name="표준 2 2" xfId="87" xr:uid="{00000000-0005-0000-0000-000056000000}"/>
    <cellStyle name="표준 2 3" xfId="86" xr:uid="{00000000-0005-0000-0000-000057000000}"/>
    <cellStyle name="표준 3" xfId="44" xr:uid="{00000000-0005-0000-0000-000058000000}"/>
    <cellStyle name="표준 4" xfId="88" xr:uid="{00000000-0005-0000-0000-000059000000}"/>
    <cellStyle name="표준 5" xfId="89" xr:uid="{00000000-0005-0000-0000-00005A000000}"/>
    <cellStyle name="표준_BRX-2_Rat_PK_report_040308" xfId="43" xr:uid="{00000000-0005-0000-0000-00005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5872813927393486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Result'!$A$32:$B$32</c:f>
              <c:strCache>
                <c:ptCount val="1"/>
                <c:pt idx="0">
                  <c:v>G1 시험물질, 7.5 mg/kg, 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Result'!$B$35:$B$50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Result'!$I$35:$I$50</c:f>
              <c:numCache>
                <c:formatCode>0.00</c:formatCode>
                <c:ptCount val="16"/>
                <c:pt idx="0">
                  <c:v>16</c:v>
                </c:pt>
                <c:pt idx="1">
                  <c:v>23.366666666666664</c:v>
                </c:pt>
                <c:pt idx="2">
                  <c:v>12.866666666666667</c:v>
                </c:pt>
                <c:pt idx="3">
                  <c:v>10.246666666666666</c:v>
                </c:pt>
                <c:pt idx="4">
                  <c:v>5.666666666666667</c:v>
                </c:pt>
                <c:pt idx="5">
                  <c:v>2.5766666666666667</c:v>
                </c:pt>
                <c:pt idx="6">
                  <c:v>2.41</c:v>
                </c:pt>
                <c:pt idx="7">
                  <c:v>4.13</c:v>
                </c:pt>
                <c:pt idx="8">
                  <c:v>4.9933333333333332</c:v>
                </c:pt>
                <c:pt idx="9">
                  <c:v>6.0633333333333335</c:v>
                </c:pt>
                <c:pt idx="10">
                  <c:v>4.8400000000000007</c:v>
                </c:pt>
                <c:pt idx="11">
                  <c:v>2.6433333333333331</c:v>
                </c:pt>
                <c:pt idx="12">
                  <c:v>0.57999999999999996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7-41C0-A59C-B530AF564934}"/>
            </c:ext>
          </c:extLst>
        </c:ser>
        <c:ser>
          <c:idx val="0"/>
          <c:order val="1"/>
          <c:tx>
            <c:strRef>
              <c:f>'2. Result'!$A$53:$B$53</c:f>
              <c:strCache>
                <c:ptCount val="1"/>
                <c:pt idx="0">
                  <c:v>G2 시험물질, 15 mg/kg, 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Result'!$B$56:$B$71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Result'!$I$56:$I$71</c:f>
              <c:numCache>
                <c:formatCode>0.00</c:formatCode>
                <c:ptCount val="16"/>
                <c:pt idx="0">
                  <c:v>50.366666666666674</c:v>
                </c:pt>
                <c:pt idx="1">
                  <c:v>41.833333333333336</c:v>
                </c:pt>
                <c:pt idx="2">
                  <c:v>21.433333333333337</c:v>
                </c:pt>
                <c:pt idx="3">
                  <c:v>12.633333333333333</c:v>
                </c:pt>
                <c:pt idx="4">
                  <c:v>9.9133333333333322</c:v>
                </c:pt>
                <c:pt idx="5">
                  <c:v>5.996666666666667</c:v>
                </c:pt>
                <c:pt idx="6">
                  <c:v>6.5933333333333337</c:v>
                </c:pt>
                <c:pt idx="7">
                  <c:v>8.83</c:v>
                </c:pt>
                <c:pt idx="8">
                  <c:v>10.753333333333332</c:v>
                </c:pt>
                <c:pt idx="9">
                  <c:v>7.7366666666666672</c:v>
                </c:pt>
                <c:pt idx="10">
                  <c:v>8.3800000000000008</c:v>
                </c:pt>
                <c:pt idx="11">
                  <c:v>3.3266666666666667</c:v>
                </c:pt>
                <c:pt idx="12">
                  <c:v>0.21000000000000002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7-41C0-A59C-B530AF564934}"/>
            </c:ext>
          </c:extLst>
        </c:ser>
        <c:ser>
          <c:idx val="1"/>
          <c:order val="2"/>
          <c:tx>
            <c:strRef>
              <c:f>'2. Result'!$A$74:$B$74</c:f>
              <c:strCache>
                <c:ptCount val="1"/>
                <c:pt idx="0">
                  <c:v>G3 시험물질, 30 mg/kg,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Result'!$B$77:$B$92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Result'!$I$77:$I$92</c:f>
              <c:numCache>
                <c:formatCode>0.00</c:formatCode>
                <c:ptCount val="16"/>
                <c:pt idx="0">
                  <c:v>67.7</c:v>
                </c:pt>
                <c:pt idx="1">
                  <c:v>72.766666666666666</c:v>
                </c:pt>
                <c:pt idx="2">
                  <c:v>37.466666666666669</c:v>
                </c:pt>
                <c:pt idx="3">
                  <c:v>28.033333333333335</c:v>
                </c:pt>
                <c:pt idx="4">
                  <c:v>19.700000000000003</c:v>
                </c:pt>
                <c:pt idx="5">
                  <c:v>13.9</c:v>
                </c:pt>
                <c:pt idx="6">
                  <c:v>24.366666666666664</c:v>
                </c:pt>
                <c:pt idx="7">
                  <c:v>17.866666666666667</c:v>
                </c:pt>
                <c:pt idx="8">
                  <c:v>11.733333333333333</c:v>
                </c:pt>
                <c:pt idx="9">
                  <c:v>10.863333333333335</c:v>
                </c:pt>
                <c:pt idx="10">
                  <c:v>6.9633333333333338</c:v>
                </c:pt>
                <c:pt idx="11">
                  <c:v>2.1666666666666665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77-41C0-A59C-B530AF56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5832009350004"/>
          <c:y val="0.20709637974945963"/>
          <c:w val="0.28946431512114529"/>
          <c:h val="0.1538757277073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5872813927393486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Result'!$A$32:$B$32</c:f>
              <c:strCache>
                <c:ptCount val="1"/>
                <c:pt idx="0">
                  <c:v>G1 시험물질, 7.5 mg/kg, 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Result'!$B$35:$B$50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Result'!$I$35:$I$50</c:f>
              <c:numCache>
                <c:formatCode>0.00</c:formatCode>
                <c:ptCount val="16"/>
                <c:pt idx="0">
                  <c:v>16</c:v>
                </c:pt>
                <c:pt idx="1">
                  <c:v>23.366666666666664</c:v>
                </c:pt>
                <c:pt idx="2">
                  <c:v>12.866666666666667</c:v>
                </c:pt>
                <c:pt idx="3">
                  <c:v>10.246666666666666</c:v>
                </c:pt>
                <c:pt idx="4">
                  <c:v>5.666666666666667</c:v>
                </c:pt>
                <c:pt idx="5">
                  <c:v>2.5766666666666667</c:v>
                </c:pt>
                <c:pt idx="6">
                  <c:v>2.41</c:v>
                </c:pt>
                <c:pt idx="7">
                  <c:v>4.13</c:v>
                </c:pt>
                <c:pt idx="8">
                  <c:v>4.9933333333333332</c:v>
                </c:pt>
                <c:pt idx="9">
                  <c:v>6.0633333333333335</c:v>
                </c:pt>
                <c:pt idx="10">
                  <c:v>4.8400000000000007</c:v>
                </c:pt>
                <c:pt idx="11">
                  <c:v>2.6433333333333331</c:v>
                </c:pt>
                <c:pt idx="12">
                  <c:v>0.57999999999999996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F-4823-A766-F6508DE16BA0}"/>
            </c:ext>
          </c:extLst>
        </c:ser>
        <c:ser>
          <c:idx val="0"/>
          <c:order val="1"/>
          <c:tx>
            <c:strRef>
              <c:f>'2. Result'!$A$53:$B$53</c:f>
              <c:strCache>
                <c:ptCount val="1"/>
                <c:pt idx="0">
                  <c:v>G2 시험물질, 15 mg/kg, 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Result'!$B$56:$B$71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Result'!$I$56:$I$68</c:f>
              <c:numCache>
                <c:formatCode>0.00</c:formatCode>
                <c:ptCount val="13"/>
                <c:pt idx="0">
                  <c:v>50.366666666666674</c:v>
                </c:pt>
                <c:pt idx="1">
                  <c:v>41.833333333333336</c:v>
                </c:pt>
                <c:pt idx="2">
                  <c:v>21.433333333333337</c:v>
                </c:pt>
                <c:pt idx="3">
                  <c:v>12.633333333333333</c:v>
                </c:pt>
                <c:pt idx="4">
                  <c:v>9.9133333333333322</c:v>
                </c:pt>
                <c:pt idx="5">
                  <c:v>5.996666666666667</c:v>
                </c:pt>
                <c:pt idx="6">
                  <c:v>6.5933333333333337</c:v>
                </c:pt>
                <c:pt idx="7">
                  <c:v>8.83</c:v>
                </c:pt>
                <c:pt idx="8">
                  <c:v>10.753333333333332</c:v>
                </c:pt>
                <c:pt idx="9">
                  <c:v>7.7366666666666672</c:v>
                </c:pt>
                <c:pt idx="10">
                  <c:v>8.3800000000000008</c:v>
                </c:pt>
                <c:pt idx="11">
                  <c:v>3.3266666666666667</c:v>
                </c:pt>
                <c:pt idx="12">
                  <c:v>0.21000000000000002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BF-4823-A766-F6508DE16BA0}"/>
            </c:ext>
          </c:extLst>
        </c:ser>
        <c:ser>
          <c:idx val="1"/>
          <c:order val="2"/>
          <c:tx>
            <c:strRef>
              <c:f>'2. Result'!$A$74:$B$74</c:f>
              <c:strCache>
                <c:ptCount val="1"/>
                <c:pt idx="0">
                  <c:v>G3 시험물질, 30 mg/kg,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Result'!$B$77:$B$92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Result'!$I$77:$I$88</c:f>
              <c:numCache>
                <c:formatCode>0.00</c:formatCode>
                <c:ptCount val="12"/>
                <c:pt idx="0">
                  <c:v>67.7</c:v>
                </c:pt>
                <c:pt idx="1">
                  <c:v>72.766666666666666</c:v>
                </c:pt>
                <c:pt idx="2">
                  <c:v>37.466666666666669</c:v>
                </c:pt>
                <c:pt idx="3">
                  <c:v>28.033333333333335</c:v>
                </c:pt>
                <c:pt idx="4">
                  <c:v>19.700000000000003</c:v>
                </c:pt>
                <c:pt idx="5">
                  <c:v>13.9</c:v>
                </c:pt>
                <c:pt idx="6">
                  <c:v>24.366666666666664</c:v>
                </c:pt>
                <c:pt idx="7">
                  <c:v>17.866666666666667</c:v>
                </c:pt>
                <c:pt idx="8">
                  <c:v>11.733333333333333</c:v>
                </c:pt>
                <c:pt idx="9">
                  <c:v>10.863333333333335</c:v>
                </c:pt>
                <c:pt idx="10">
                  <c:v>6.9633333333333338</c:v>
                </c:pt>
                <c:pt idx="11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BF-4823-A766-F6508DE16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5832009350004"/>
          <c:y val="0.20709637974945963"/>
          <c:w val="0.28946431512114529"/>
          <c:h val="0.1538757277073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5872813927393486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Result'!$A$32:$B$32</c:f>
              <c:strCache>
                <c:ptCount val="1"/>
                <c:pt idx="0">
                  <c:v>G1 시험물질, 7.5 mg/kg, 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Result'!$J$35:$J$50</c:f>
                <c:numCache>
                  <c:formatCode>General</c:formatCode>
                  <c:ptCount val="16"/>
                  <c:pt idx="0">
                    <c:v>3.9849717690342614</c:v>
                  </c:pt>
                  <c:pt idx="1">
                    <c:v>3.5725807665234872</c:v>
                  </c:pt>
                  <c:pt idx="2">
                    <c:v>4.2099089459670349</c:v>
                  </c:pt>
                  <c:pt idx="3">
                    <c:v>2.9502598755589942</c:v>
                  </c:pt>
                  <c:pt idx="4">
                    <c:v>1.2388031858747131</c:v>
                  </c:pt>
                  <c:pt idx="5">
                    <c:v>0.41016256939576196</c:v>
                  </c:pt>
                  <c:pt idx="6">
                    <c:v>0.21283796653792758</c:v>
                  </c:pt>
                  <c:pt idx="7">
                    <c:v>0.37269290307168451</c:v>
                  </c:pt>
                  <c:pt idx="8">
                    <c:v>2.8765488581516099</c:v>
                  </c:pt>
                  <c:pt idx="9">
                    <c:v>1.2042148202597962</c:v>
                  </c:pt>
                  <c:pt idx="10">
                    <c:v>2.1931028247667732</c:v>
                  </c:pt>
                  <c:pt idx="11">
                    <c:v>0.79964575490234091</c:v>
                  </c:pt>
                  <c:pt idx="12">
                    <c:v>0.66775744099186196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Result'!$B$35:$B$50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Result'!$I$35:$I$50</c:f>
              <c:numCache>
                <c:formatCode>0.00</c:formatCode>
                <c:ptCount val="16"/>
                <c:pt idx="0">
                  <c:v>16</c:v>
                </c:pt>
                <c:pt idx="1">
                  <c:v>23.366666666666664</c:v>
                </c:pt>
                <c:pt idx="2">
                  <c:v>12.866666666666667</c:v>
                </c:pt>
                <c:pt idx="3">
                  <c:v>10.246666666666666</c:v>
                </c:pt>
                <c:pt idx="4">
                  <c:v>5.666666666666667</c:v>
                </c:pt>
                <c:pt idx="5">
                  <c:v>2.5766666666666667</c:v>
                </c:pt>
                <c:pt idx="6">
                  <c:v>2.41</c:v>
                </c:pt>
                <c:pt idx="7">
                  <c:v>4.13</c:v>
                </c:pt>
                <c:pt idx="8">
                  <c:v>4.9933333333333332</c:v>
                </c:pt>
                <c:pt idx="9">
                  <c:v>6.0633333333333335</c:v>
                </c:pt>
                <c:pt idx="10">
                  <c:v>4.8400000000000007</c:v>
                </c:pt>
                <c:pt idx="11">
                  <c:v>2.6433333333333331</c:v>
                </c:pt>
                <c:pt idx="12">
                  <c:v>0.57999999999999996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C-4B4A-A545-4153552B06CD}"/>
            </c:ext>
          </c:extLst>
        </c:ser>
        <c:ser>
          <c:idx val="0"/>
          <c:order val="1"/>
          <c:tx>
            <c:strRef>
              <c:f>'2. Result'!$A$53:$B$53</c:f>
              <c:strCache>
                <c:ptCount val="1"/>
                <c:pt idx="0">
                  <c:v>G2 시험물질, 15 mg/kg, 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Result'!$J$56:$J$71</c:f>
                <c:numCache>
                  <c:formatCode>General</c:formatCode>
                  <c:ptCount val="16"/>
                  <c:pt idx="0">
                    <c:v>5.2481742857238789</c:v>
                  </c:pt>
                  <c:pt idx="1">
                    <c:v>6.0475890512941826</c:v>
                  </c:pt>
                  <c:pt idx="2">
                    <c:v>2.6633312473916986</c:v>
                  </c:pt>
                  <c:pt idx="3">
                    <c:v>1.6010413278030435</c:v>
                  </c:pt>
                  <c:pt idx="4">
                    <c:v>2.4216798577296204</c:v>
                  </c:pt>
                  <c:pt idx="5">
                    <c:v>3.2086497679449741</c:v>
                  </c:pt>
                  <c:pt idx="6">
                    <c:v>3.0491364897841691</c:v>
                  </c:pt>
                  <c:pt idx="7">
                    <c:v>1.9299999999999939</c:v>
                  </c:pt>
                  <c:pt idx="8">
                    <c:v>2.959481936645894</c:v>
                  </c:pt>
                  <c:pt idx="9">
                    <c:v>2.9096448809662911</c:v>
                  </c:pt>
                  <c:pt idx="10">
                    <c:v>1.7522271542240146</c:v>
                  </c:pt>
                  <c:pt idx="11">
                    <c:v>2.7974690942588323</c:v>
                  </c:pt>
                  <c:pt idx="12">
                    <c:v>2.8284271247461908E-2</c:v>
                  </c:pt>
                  <c:pt idx="13">
                    <c:v>0.3818376618407357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Result'!$B$56:$B$71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Result'!$I$56:$I$68</c:f>
              <c:numCache>
                <c:formatCode>0.00</c:formatCode>
                <c:ptCount val="13"/>
                <c:pt idx="0">
                  <c:v>50.366666666666674</c:v>
                </c:pt>
                <c:pt idx="1">
                  <c:v>41.833333333333336</c:v>
                </c:pt>
                <c:pt idx="2">
                  <c:v>21.433333333333337</c:v>
                </c:pt>
                <c:pt idx="3">
                  <c:v>12.633333333333333</c:v>
                </c:pt>
                <c:pt idx="4">
                  <c:v>9.9133333333333322</c:v>
                </c:pt>
                <c:pt idx="5">
                  <c:v>5.996666666666667</c:v>
                </c:pt>
                <c:pt idx="6">
                  <c:v>6.5933333333333337</c:v>
                </c:pt>
                <c:pt idx="7">
                  <c:v>8.83</c:v>
                </c:pt>
                <c:pt idx="8">
                  <c:v>10.753333333333332</c:v>
                </c:pt>
                <c:pt idx="9">
                  <c:v>7.7366666666666672</c:v>
                </c:pt>
                <c:pt idx="10">
                  <c:v>8.3800000000000008</c:v>
                </c:pt>
                <c:pt idx="11">
                  <c:v>3.3266666666666667</c:v>
                </c:pt>
                <c:pt idx="12">
                  <c:v>0.21000000000000002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AC-4B4A-A545-4153552B06CD}"/>
            </c:ext>
          </c:extLst>
        </c:ser>
        <c:ser>
          <c:idx val="1"/>
          <c:order val="2"/>
          <c:tx>
            <c:strRef>
              <c:f>'2. Result'!$A$74:$B$74</c:f>
              <c:strCache>
                <c:ptCount val="1"/>
                <c:pt idx="0">
                  <c:v>G3 시험물질, 30 mg/kg,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'2. Result'!$J$77:$J$92</c:f>
                <c:numCache>
                  <c:formatCode>General</c:formatCode>
                  <c:ptCount val="16"/>
                  <c:pt idx="0">
                    <c:v>22.150169299578732</c:v>
                  </c:pt>
                  <c:pt idx="1">
                    <c:v>1.7009801096230792</c:v>
                  </c:pt>
                  <c:pt idx="2">
                    <c:v>4.8747649515984737</c:v>
                  </c:pt>
                  <c:pt idx="3">
                    <c:v>7.2762169657956823</c:v>
                  </c:pt>
                  <c:pt idx="4">
                    <c:v>2.227105745132008</c:v>
                  </c:pt>
                  <c:pt idx="5">
                    <c:v>0.62449979983983961</c:v>
                  </c:pt>
                  <c:pt idx="6">
                    <c:v>10.061974623965893</c:v>
                  </c:pt>
                  <c:pt idx="7">
                    <c:v>2.1962088546705503</c:v>
                  </c:pt>
                  <c:pt idx="8">
                    <c:v>1.2342339054382412</c:v>
                  </c:pt>
                  <c:pt idx="9">
                    <c:v>4.2177047470553601</c:v>
                  </c:pt>
                  <c:pt idx="10">
                    <c:v>0.91440326625254464</c:v>
                  </c:pt>
                  <c:pt idx="11">
                    <c:v>0.87007662497812988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Result'!$B$77:$B$92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24</c:v>
                </c:pt>
                <c:pt idx="5">
                  <c:v>72</c:v>
                </c:pt>
                <c:pt idx="6">
                  <c:v>168</c:v>
                </c:pt>
                <c:pt idx="7">
                  <c:v>336</c:v>
                </c:pt>
                <c:pt idx="8">
                  <c:v>408</c:v>
                </c:pt>
                <c:pt idx="9">
                  <c:v>504</c:v>
                </c:pt>
                <c:pt idx="10">
                  <c:v>576</c:v>
                </c:pt>
                <c:pt idx="11">
                  <c:v>672</c:v>
                </c:pt>
                <c:pt idx="12">
                  <c:v>768</c:v>
                </c:pt>
                <c:pt idx="13">
                  <c:v>864</c:v>
                </c:pt>
                <c:pt idx="14">
                  <c:v>1008</c:v>
                </c:pt>
                <c:pt idx="15">
                  <c:v>1176</c:v>
                </c:pt>
              </c:numCache>
            </c:numRef>
          </c:xVal>
          <c:yVal>
            <c:numRef>
              <c:f>'2. Result'!$I$77:$I$88</c:f>
              <c:numCache>
                <c:formatCode>0.00</c:formatCode>
                <c:ptCount val="12"/>
                <c:pt idx="0">
                  <c:v>67.7</c:v>
                </c:pt>
                <c:pt idx="1">
                  <c:v>72.766666666666666</c:v>
                </c:pt>
                <c:pt idx="2">
                  <c:v>37.466666666666669</c:v>
                </c:pt>
                <c:pt idx="3">
                  <c:v>28.033333333333335</c:v>
                </c:pt>
                <c:pt idx="4">
                  <c:v>19.700000000000003</c:v>
                </c:pt>
                <c:pt idx="5">
                  <c:v>13.9</c:v>
                </c:pt>
                <c:pt idx="6">
                  <c:v>24.366666666666664</c:v>
                </c:pt>
                <c:pt idx="7">
                  <c:v>17.866666666666667</c:v>
                </c:pt>
                <c:pt idx="8">
                  <c:v>11.733333333333333</c:v>
                </c:pt>
                <c:pt idx="9">
                  <c:v>10.863333333333335</c:v>
                </c:pt>
                <c:pt idx="10">
                  <c:v>6.9633333333333338</c:v>
                </c:pt>
                <c:pt idx="11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AC-4B4A-A545-4153552B0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Blood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5832009350004"/>
          <c:y val="0.20709637974945963"/>
          <c:w val="0.28946431512114529"/>
          <c:h val="0.1538757277073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 b="1"/>
              <a:t>P2026043 </a:t>
            </a:r>
            <a:r>
              <a:rPr lang="ko-KR" altLang="en-US" sz="1600" b="1" baseline="0"/>
              <a:t>체중</a:t>
            </a:r>
            <a:endParaRPr lang="ko-KR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[1]BW!$B$6</c:f>
              <c:strCache>
                <c:ptCount val="1"/>
                <c:pt idx="0">
                  <c:v>G1
시험물질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[1]BW!$D$13:$K$13</c:f>
                <c:numCache>
                  <c:formatCode>General</c:formatCode>
                  <c:ptCount val="8"/>
                  <c:pt idx="0">
                    <c:v>0.46761807778000541</c:v>
                  </c:pt>
                  <c:pt idx="1">
                    <c:v>1.4797522315126488</c:v>
                  </c:pt>
                  <c:pt idx="2">
                    <c:v>1.1956866925188494</c:v>
                  </c:pt>
                  <c:pt idx="3">
                    <c:v>0.96263527187957798</c:v>
                  </c:pt>
                  <c:pt idx="4">
                    <c:v>0.77824589087682716</c:v>
                  </c:pt>
                  <c:pt idx="5">
                    <c:v>0.93683865562148194</c:v>
                  </c:pt>
                  <c:pt idx="6">
                    <c:v>1.1471704319759988</c:v>
                  </c:pt>
                  <c:pt idx="7">
                    <c:v>0.90994505328618691</c:v>
                  </c:pt>
                </c:numCache>
              </c:numRef>
            </c:plus>
            <c:minus>
              <c:numRef>
                <c:f>[1]BW!$D$13:$K$13</c:f>
                <c:numCache>
                  <c:formatCode>General</c:formatCode>
                  <c:ptCount val="8"/>
                  <c:pt idx="0">
                    <c:v>0.46761807778000541</c:v>
                  </c:pt>
                  <c:pt idx="1">
                    <c:v>1.4797522315126488</c:v>
                  </c:pt>
                  <c:pt idx="2">
                    <c:v>1.1956866925188494</c:v>
                  </c:pt>
                  <c:pt idx="3">
                    <c:v>0.96263527187957798</c:v>
                  </c:pt>
                  <c:pt idx="4">
                    <c:v>0.77824589087682716</c:v>
                  </c:pt>
                  <c:pt idx="5">
                    <c:v>0.93683865562148194</c:v>
                  </c:pt>
                  <c:pt idx="6">
                    <c:v>1.1471704319759988</c:v>
                  </c:pt>
                  <c:pt idx="7">
                    <c:v>0.90994505328618691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[1]BW!$D$4:$K$4</c:f>
              <c:strCache>
                <c:ptCount val="8"/>
                <c:pt idx="0">
                  <c:v>Day0</c:v>
                </c:pt>
                <c:pt idx="1">
                  <c:v>Day7</c:v>
                </c:pt>
                <c:pt idx="2">
                  <c:v>Day14</c:v>
                </c:pt>
                <c:pt idx="3">
                  <c:v>Day21</c:v>
                </c:pt>
                <c:pt idx="4">
                  <c:v>Day28</c:v>
                </c:pt>
                <c:pt idx="5">
                  <c:v>Day35</c:v>
                </c:pt>
                <c:pt idx="6">
                  <c:v>Day42</c:v>
                </c:pt>
                <c:pt idx="7">
                  <c:v>Day49</c:v>
                </c:pt>
              </c:strCache>
            </c:strRef>
          </c:cat>
          <c:val>
            <c:numRef>
              <c:f>[1]BW!$D$12:$K$12</c:f>
              <c:numCache>
                <c:formatCode>0.00</c:formatCode>
                <c:ptCount val="8"/>
                <c:pt idx="0">
                  <c:v>34.533333333333331</c:v>
                </c:pt>
                <c:pt idx="1">
                  <c:v>35.183333333333337</c:v>
                </c:pt>
                <c:pt idx="2">
                  <c:v>36.81666666666667</c:v>
                </c:pt>
                <c:pt idx="3">
                  <c:v>37.833333333333336</c:v>
                </c:pt>
                <c:pt idx="4">
                  <c:v>39.016666666666666</c:v>
                </c:pt>
                <c:pt idx="5">
                  <c:v>39.883333333333333</c:v>
                </c:pt>
                <c:pt idx="6">
                  <c:v>40.699999999999996</c:v>
                </c:pt>
                <c:pt idx="7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C-48E1-A364-27D6697EE251}"/>
            </c:ext>
          </c:extLst>
        </c:ser>
        <c:ser>
          <c:idx val="1"/>
          <c:order val="1"/>
          <c:tx>
            <c:strRef>
              <c:f>[1]BW!$B$14</c:f>
              <c:strCache>
                <c:ptCount val="1"/>
                <c:pt idx="0">
                  <c:v>G2
시험물질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[1]BW!$D$21:$K$21</c:f>
                <c:numCache>
                  <c:formatCode>General</c:formatCode>
                  <c:ptCount val="8"/>
                  <c:pt idx="0">
                    <c:v>0.62529992803453949</c:v>
                  </c:pt>
                  <c:pt idx="1">
                    <c:v>1.3467244212037828</c:v>
                  </c:pt>
                  <c:pt idx="2">
                    <c:v>1.4133883637085274</c:v>
                  </c:pt>
                  <c:pt idx="3">
                    <c:v>1.1113055385446429</c:v>
                  </c:pt>
                  <c:pt idx="4">
                    <c:v>1.1730302638892141</c:v>
                  </c:pt>
                  <c:pt idx="5">
                    <c:v>1.4935416521365137</c:v>
                  </c:pt>
                  <c:pt idx="6">
                    <c:v>1.3125039682479693</c:v>
                  </c:pt>
                  <c:pt idx="7">
                    <c:v>1.8096040082478442</c:v>
                  </c:pt>
                </c:numCache>
              </c:numRef>
            </c:plus>
            <c:minus>
              <c:numRef>
                <c:f>[1]BW!$D$21:$K$21</c:f>
                <c:numCache>
                  <c:formatCode>General</c:formatCode>
                  <c:ptCount val="8"/>
                  <c:pt idx="0">
                    <c:v>0.62529992803453949</c:v>
                  </c:pt>
                  <c:pt idx="1">
                    <c:v>1.3467244212037828</c:v>
                  </c:pt>
                  <c:pt idx="2">
                    <c:v>1.4133883637085274</c:v>
                  </c:pt>
                  <c:pt idx="3">
                    <c:v>1.1113055385446429</c:v>
                  </c:pt>
                  <c:pt idx="4">
                    <c:v>1.1730302638892141</c:v>
                  </c:pt>
                  <c:pt idx="5">
                    <c:v>1.4935416521365137</c:v>
                  </c:pt>
                  <c:pt idx="6">
                    <c:v>1.3125039682479693</c:v>
                  </c:pt>
                  <c:pt idx="7">
                    <c:v>1.8096040082478442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[1]BW!$D$4:$K$4</c:f>
              <c:strCache>
                <c:ptCount val="8"/>
                <c:pt idx="0">
                  <c:v>Day0</c:v>
                </c:pt>
                <c:pt idx="1">
                  <c:v>Day7</c:v>
                </c:pt>
                <c:pt idx="2">
                  <c:v>Day14</c:v>
                </c:pt>
                <c:pt idx="3">
                  <c:v>Day21</c:v>
                </c:pt>
                <c:pt idx="4">
                  <c:v>Day28</c:v>
                </c:pt>
                <c:pt idx="5">
                  <c:v>Day35</c:v>
                </c:pt>
                <c:pt idx="6">
                  <c:v>Day42</c:v>
                </c:pt>
                <c:pt idx="7">
                  <c:v>Day49</c:v>
                </c:pt>
              </c:strCache>
            </c:strRef>
          </c:cat>
          <c:val>
            <c:numRef>
              <c:f>[1]BW!$D$20:$K$20</c:f>
              <c:numCache>
                <c:formatCode>0.00</c:formatCode>
                <c:ptCount val="8"/>
                <c:pt idx="0">
                  <c:v>34.550000000000004</c:v>
                </c:pt>
                <c:pt idx="1">
                  <c:v>34.31666666666667</c:v>
                </c:pt>
                <c:pt idx="2">
                  <c:v>35.983333333333334</c:v>
                </c:pt>
                <c:pt idx="3">
                  <c:v>37.15</c:v>
                </c:pt>
                <c:pt idx="4">
                  <c:v>38.199999999999996</c:v>
                </c:pt>
                <c:pt idx="5">
                  <c:v>39.533333333333331</c:v>
                </c:pt>
                <c:pt idx="6">
                  <c:v>40.43333333333333</c:v>
                </c:pt>
                <c:pt idx="7">
                  <c:v>41.433333333333337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C-48E1-A364-27D6697EE251}"/>
            </c:ext>
          </c:extLst>
        </c:ser>
        <c:ser>
          <c:idx val="2"/>
          <c:order val="2"/>
          <c:tx>
            <c:strRef>
              <c:f>[1]BW!$B$22</c:f>
              <c:strCache>
                <c:ptCount val="1"/>
                <c:pt idx="0">
                  <c:v>G3
시험물질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[1]BW!$D$29:$K$29</c:f>
                <c:numCache>
                  <c:formatCode>General</c:formatCode>
                  <c:ptCount val="8"/>
                  <c:pt idx="0">
                    <c:v>0.51672042731055179</c:v>
                  </c:pt>
                  <c:pt idx="1">
                    <c:v>0.92448183685060459</c:v>
                  </c:pt>
                  <c:pt idx="2">
                    <c:v>0.99883265198263704</c:v>
                  </c:pt>
                  <c:pt idx="3">
                    <c:v>1.2468627296806445</c:v>
                  </c:pt>
                  <c:pt idx="4">
                    <c:v>1.2400268814290552</c:v>
                  </c:pt>
                  <c:pt idx="5">
                    <c:v>1.5857700547893645</c:v>
                  </c:pt>
                  <c:pt idx="6">
                    <c:v>1.0217631819555832</c:v>
                  </c:pt>
                  <c:pt idx="7">
                    <c:v>0.78166488983451099</c:v>
                  </c:pt>
                </c:numCache>
              </c:numRef>
            </c:plus>
            <c:minus>
              <c:numRef>
                <c:f>[1]BW!$D$29:$K$29</c:f>
                <c:numCache>
                  <c:formatCode>General</c:formatCode>
                  <c:ptCount val="8"/>
                  <c:pt idx="0">
                    <c:v>0.51672042731055179</c:v>
                  </c:pt>
                  <c:pt idx="1">
                    <c:v>0.92448183685060459</c:v>
                  </c:pt>
                  <c:pt idx="2">
                    <c:v>0.99883265198263704</c:v>
                  </c:pt>
                  <c:pt idx="3">
                    <c:v>1.2468627296806445</c:v>
                  </c:pt>
                  <c:pt idx="4">
                    <c:v>1.2400268814290552</c:v>
                  </c:pt>
                  <c:pt idx="5">
                    <c:v>1.5857700547893645</c:v>
                  </c:pt>
                  <c:pt idx="6">
                    <c:v>1.0217631819555832</c:v>
                  </c:pt>
                  <c:pt idx="7">
                    <c:v>0.78166488983451099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[1]BW!$D$4:$K$4</c:f>
              <c:strCache>
                <c:ptCount val="8"/>
                <c:pt idx="0">
                  <c:v>Day0</c:v>
                </c:pt>
                <c:pt idx="1">
                  <c:v>Day7</c:v>
                </c:pt>
                <c:pt idx="2">
                  <c:v>Day14</c:v>
                </c:pt>
                <c:pt idx="3">
                  <c:v>Day21</c:v>
                </c:pt>
                <c:pt idx="4">
                  <c:v>Day28</c:v>
                </c:pt>
                <c:pt idx="5">
                  <c:v>Day35</c:v>
                </c:pt>
                <c:pt idx="6">
                  <c:v>Day42</c:v>
                </c:pt>
                <c:pt idx="7">
                  <c:v>Day49</c:v>
                </c:pt>
              </c:strCache>
            </c:strRef>
          </c:cat>
          <c:val>
            <c:numRef>
              <c:f>[1]BW!$D$28:$K$28</c:f>
              <c:numCache>
                <c:formatCode>0.00</c:formatCode>
                <c:ptCount val="8"/>
                <c:pt idx="0">
                  <c:v>34.550000000000004</c:v>
                </c:pt>
                <c:pt idx="1">
                  <c:v>34.966666666666669</c:v>
                </c:pt>
                <c:pt idx="2">
                  <c:v>37.016666666666673</c:v>
                </c:pt>
                <c:pt idx="3">
                  <c:v>37.93333333333333</c:v>
                </c:pt>
                <c:pt idx="4">
                  <c:v>38.316666666666663</c:v>
                </c:pt>
                <c:pt idx="5">
                  <c:v>39.533333333333331</c:v>
                </c:pt>
                <c:pt idx="6">
                  <c:v>40.300000000000004</c:v>
                </c:pt>
                <c:pt idx="7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C-48E1-A364-27D6697EE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50112"/>
        <c:axId val="1160556000"/>
      </c:lineChart>
      <c:catAx>
        <c:axId val="11607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0556000"/>
        <c:crosses val="autoZero"/>
        <c:auto val="1"/>
        <c:lblAlgn val="ctr"/>
        <c:lblOffset val="100"/>
        <c:noMultiLvlLbl val="0"/>
      </c:catAx>
      <c:valAx>
        <c:axId val="116055600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BW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075011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324977</xdr:colOff>
      <xdr:row>2</xdr:row>
      <xdr:rowOff>22412</xdr:rowOff>
    </xdr:from>
    <xdr:to>
      <xdr:col>8</xdr:col>
      <xdr:colOff>1332183</xdr:colOff>
      <xdr:row>11</xdr:row>
      <xdr:rowOff>31236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3C43E7-D1E3-079B-40B4-90F8CF2E8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1977" y="728383"/>
          <a:ext cx="2520000" cy="20258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1497112</xdr:colOff>
      <xdr:row>2</xdr:row>
      <xdr:rowOff>6723</xdr:rowOff>
    </xdr:from>
    <xdr:to>
      <xdr:col>10</xdr:col>
      <xdr:colOff>991524</xdr:colOff>
      <xdr:row>11</xdr:row>
      <xdr:rowOff>15547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964BAB-D0C5-FB8B-510F-6459AA21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6906" y="712694"/>
          <a:ext cx="2520000" cy="20258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1167660</xdr:colOff>
      <xdr:row>2</xdr:row>
      <xdr:rowOff>35858</xdr:rowOff>
    </xdr:from>
    <xdr:to>
      <xdr:col>12</xdr:col>
      <xdr:colOff>662071</xdr:colOff>
      <xdr:row>11</xdr:row>
      <xdr:rowOff>44682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770B684-9534-2263-2A4E-D6019D983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93042" y="741829"/>
          <a:ext cx="2520000" cy="20258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22412</xdr:colOff>
      <xdr:row>24</xdr:row>
      <xdr:rowOff>78442</xdr:rowOff>
    </xdr:from>
    <xdr:to>
      <xdr:col>5</xdr:col>
      <xdr:colOff>1483601</xdr:colOff>
      <xdr:row>40</xdr:row>
      <xdr:rowOff>92559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28731B7-2505-4BE6-807D-527E68240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1485906</xdr:colOff>
      <xdr:row>11</xdr:row>
      <xdr:rowOff>107576</xdr:rowOff>
    </xdr:from>
    <xdr:to>
      <xdr:col>10</xdr:col>
      <xdr:colOff>980318</xdr:colOff>
      <xdr:row>20</xdr:row>
      <xdr:rowOff>116400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52EA63C-5E95-45CB-A15C-8D1E8E8FD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85700" y="2830605"/>
          <a:ext cx="2520000" cy="202588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1156453</xdr:colOff>
      <xdr:row>11</xdr:row>
      <xdr:rowOff>136712</xdr:rowOff>
    </xdr:from>
    <xdr:to>
      <xdr:col>12</xdr:col>
      <xdr:colOff>650864</xdr:colOff>
      <xdr:row>20</xdr:row>
      <xdr:rowOff>145536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772CE5B-9CC1-4980-8E50-5FA45C63F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81835" y="2859741"/>
          <a:ext cx="2520000" cy="2025883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6</xdr:col>
      <xdr:colOff>10969</xdr:colOff>
      <xdr:row>24</xdr:row>
      <xdr:rowOff>103909</xdr:rowOff>
    </xdr:from>
    <xdr:to>
      <xdr:col>9</xdr:col>
      <xdr:colOff>1496846</xdr:colOff>
      <xdr:row>40</xdr:row>
      <xdr:rowOff>17319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F9AD296-19E8-4202-9405-44503C967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94</xdr:row>
      <xdr:rowOff>40822</xdr:rowOff>
    </xdr:from>
    <xdr:to>
      <xdr:col>6</xdr:col>
      <xdr:colOff>665572</xdr:colOff>
      <xdr:row>111</xdr:row>
      <xdr:rowOff>125425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854C10F-268F-4C38-A307-C88BA583C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</xdr:rowOff>
    </xdr:from>
    <xdr:to>
      <xdr:col>6</xdr:col>
      <xdr:colOff>666882</xdr:colOff>
      <xdr:row>60</xdr:row>
      <xdr:rowOff>3192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E90E8F7-6417-6669-19DC-5E77461EA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63854"/>
          <a:ext cx="4320000" cy="26926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345282</xdr:colOff>
      <xdr:row>3</xdr:row>
      <xdr:rowOff>211933</xdr:rowOff>
    </xdr:from>
    <xdr:to>
      <xdr:col>24</xdr:col>
      <xdr:colOff>35718</xdr:colOff>
      <xdr:row>25</xdr:row>
      <xdr:rowOff>35718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AC532D7-2755-4FEF-9ED4-E5B5ABAC1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6041;&#44397;&#51228;&#50557;(&#53440;&#53356;&#47196;&#45768;&#47924;&#49828;)\7.%20in%20vivo%20PK\mouse%20PK\ND-PLN-P2026043_ICR%20&#47560;&#50864;&#49828;&#50640;&#49436;&#51032;%20tacrolimus%20&#51228;&#54805;&#50640;%20&#45824;&#54620;%20&#50557;&#47932;%20&#46041;&#53468;%20&#49884;&#54744;_BW%20raw%20data%20(~49d).xlsx" TargetMode="External"/><Relationship Id="rId1" Type="http://schemas.openxmlformats.org/officeDocument/2006/relationships/externalLinkPath" Target="ND-PLN-P2026043_ICR%20&#47560;&#50864;&#49828;&#50640;&#49436;&#51032;%20tacrolimus%20&#51228;&#54805;&#50640;%20&#45824;&#54620;%20&#50557;&#47932;%20&#46041;&#53468;%20&#49884;&#54744;_BW%20raw%20data%20(~49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W"/>
    </sheetNames>
    <sheetDataSet>
      <sheetData sheetId="0">
        <row r="4">
          <cell r="D4" t="str">
            <v>Day0</v>
          </cell>
          <cell r="E4" t="str">
            <v>Day7</v>
          </cell>
          <cell r="F4" t="str">
            <v>Day14</v>
          </cell>
          <cell r="G4" t="str">
            <v>Day21</v>
          </cell>
          <cell r="H4" t="str">
            <v>Day28</v>
          </cell>
          <cell r="I4" t="str">
            <v>Day35</v>
          </cell>
          <cell r="J4" t="str">
            <v>Day42</v>
          </cell>
          <cell r="K4" t="str">
            <v>Day49</v>
          </cell>
        </row>
        <row r="6">
          <cell r="B6" t="str">
            <v>G1
시험물질</v>
          </cell>
        </row>
        <row r="12">
          <cell r="D12">
            <v>34.533333333333331</v>
          </cell>
          <cell r="E12">
            <v>35.183333333333337</v>
          </cell>
          <cell r="F12">
            <v>36.81666666666667</v>
          </cell>
          <cell r="G12">
            <v>37.833333333333336</v>
          </cell>
          <cell r="H12">
            <v>39.016666666666666</v>
          </cell>
          <cell r="I12">
            <v>39.883333333333333</v>
          </cell>
          <cell r="J12">
            <v>40.699999999999996</v>
          </cell>
          <cell r="K12">
            <v>41.4</v>
          </cell>
        </row>
        <row r="13">
          <cell r="D13">
            <v>0.46761807778000541</v>
          </cell>
          <cell r="E13">
            <v>1.4797522315126488</v>
          </cell>
          <cell r="F13">
            <v>1.1956866925188494</v>
          </cell>
          <cell r="G13">
            <v>0.96263527187957798</v>
          </cell>
          <cell r="H13">
            <v>0.77824589087682716</v>
          </cell>
          <cell r="I13">
            <v>0.93683865562148194</v>
          </cell>
          <cell r="J13">
            <v>1.1471704319759988</v>
          </cell>
          <cell r="K13">
            <v>0.90994505328618691</v>
          </cell>
        </row>
        <row r="14">
          <cell r="B14" t="str">
            <v>G2
시험물질</v>
          </cell>
        </row>
        <row r="20">
          <cell r="D20">
            <v>34.550000000000004</v>
          </cell>
          <cell r="E20">
            <v>34.31666666666667</v>
          </cell>
          <cell r="F20">
            <v>35.983333333333334</v>
          </cell>
          <cell r="G20">
            <v>37.15</v>
          </cell>
          <cell r="H20">
            <v>38.199999999999996</v>
          </cell>
          <cell r="I20">
            <v>39.533333333333331</v>
          </cell>
          <cell r="J20">
            <v>40.43333333333333</v>
          </cell>
          <cell r="K20">
            <v>41.433333333333337</v>
          </cell>
        </row>
        <row r="21">
          <cell r="D21">
            <v>0.62529992803453949</v>
          </cell>
          <cell r="E21">
            <v>1.3467244212037828</v>
          </cell>
          <cell r="F21">
            <v>1.4133883637085274</v>
          </cell>
          <cell r="G21">
            <v>1.1113055385446429</v>
          </cell>
          <cell r="H21">
            <v>1.1730302638892141</v>
          </cell>
          <cell r="I21">
            <v>1.4935416521365137</v>
          </cell>
          <cell r="J21">
            <v>1.3125039682479693</v>
          </cell>
          <cell r="K21">
            <v>1.8096040082478442</v>
          </cell>
        </row>
        <row r="22">
          <cell r="B22" t="str">
            <v>G3
시험물질</v>
          </cell>
        </row>
        <row r="28">
          <cell r="D28">
            <v>34.550000000000004</v>
          </cell>
          <cell r="E28">
            <v>34.966666666666669</v>
          </cell>
          <cell r="F28">
            <v>37.016666666666673</v>
          </cell>
          <cell r="G28">
            <v>37.93333333333333</v>
          </cell>
          <cell r="H28">
            <v>38.316666666666663</v>
          </cell>
          <cell r="I28">
            <v>39.533333333333331</v>
          </cell>
          <cell r="J28">
            <v>40.300000000000004</v>
          </cell>
          <cell r="K28">
            <v>41.25</v>
          </cell>
        </row>
        <row r="29">
          <cell r="D29">
            <v>0.51672042731055179</v>
          </cell>
          <cell r="E29">
            <v>0.92448183685060459</v>
          </cell>
          <cell r="F29">
            <v>0.99883265198263704</v>
          </cell>
          <cell r="G29">
            <v>1.2468627296806445</v>
          </cell>
          <cell r="H29">
            <v>1.2400268814290552</v>
          </cell>
          <cell r="I29">
            <v>1.5857700547893645</v>
          </cell>
          <cell r="J29">
            <v>1.0217631819555832</v>
          </cell>
          <cell r="K29">
            <v>0.78166488983451099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2D08-A5AC-4875-8CB8-2804482B6887}">
  <sheetPr>
    <tabColor theme="5"/>
  </sheetPr>
  <dimension ref="A1:J72"/>
  <sheetViews>
    <sheetView topLeftCell="A46" zoomScale="85" zoomScaleNormal="85" workbookViewId="0">
      <selection activeCell="J9" sqref="J9"/>
    </sheetView>
  </sheetViews>
  <sheetFormatPr defaultColWidth="9" defaultRowHeight="14"/>
  <cols>
    <col min="1" max="1" width="3.5" style="23" customWidth="1"/>
    <col min="2" max="2" width="26.5" style="23" bestFit="1" customWidth="1"/>
    <col min="3" max="3" width="24.33203125" style="23" bestFit="1" customWidth="1"/>
    <col min="4" max="4" width="9.08203125" style="23" customWidth="1"/>
    <col min="5" max="5" width="11.25" style="23" customWidth="1"/>
    <col min="6" max="6" width="8.83203125" style="23" customWidth="1"/>
    <col min="7" max="7" width="9" style="23"/>
    <col min="8" max="8" width="33.25" style="23" customWidth="1"/>
    <col min="9" max="10" width="11.25" style="23" customWidth="1"/>
    <col min="11" max="16384" width="9" style="23"/>
  </cols>
  <sheetData>
    <row r="1" spans="1:10" ht="37.5" customHeight="1">
      <c r="A1" s="161" t="s">
        <v>21</v>
      </c>
      <c r="B1" s="161"/>
      <c r="C1" s="161"/>
      <c r="D1" s="161"/>
      <c r="E1" s="161"/>
      <c r="F1" s="161"/>
      <c r="G1" s="161"/>
      <c r="H1" s="161"/>
      <c r="J1" s="24"/>
    </row>
    <row r="2" spans="1:10" ht="16.5" customHeight="1">
      <c r="A2" s="1"/>
      <c r="B2" s="1"/>
      <c r="C2" s="1"/>
      <c r="D2" s="1"/>
      <c r="E2" s="1"/>
      <c r="F2" s="1"/>
      <c r="G2" s="2"/>
      <c r="H2" s="2"/>
      <c r="I2" s="2"/>
      <c r="J2" s="1"/>
    </row>
    <row r="3" spans="1:10" ht="16.5" customHeight="1">
      <c r="A3" s="1"/>
      <c r="B3" s="1"/>
      <c r="C3" s="1"/>
      <c r="D3" s="1"/>
      <c r="E3" s="1"/>
      <c r="F3" s="1"/>
      <c r="G3" s="2"/>
      <c r="H3" s="2"/>
      <c r="I3" s="2"/>
      <c r="J3" s="1"/>
    </row>
    <row r="4" spans="1:10" s="16" customFormat="1" ht="16.5" customHeight="1">
      <c r="A4" s="6" t="s">
        <v>16</v>
      </c>
      <c r="B4" s="3"/>
      <c r="C4" s="3"/>
      <c r="D4" s="3"/>
      <c r="E4" s="3"/>
      <c r="F4" s="3"/>
      <c r="G4" s="3"/>
      <c r="H4" s="3"/>
      <c r="I4" s="3"/>
      <c r="J4" s="3"/>
    </row>
    <row r="5" spans="1:10" s="16" customFormat="1" ht="16.5" customHeight="1">
      <c r="A5" s="163" t="s">
        <v>14</v>
      </c>
      <c r="B5" s="163"/>
      <c r="C5" s="163"/>
      <c r="D5" s="163"/>
      <c r="E5" s="163"/>
      <c r="F5" s="163"/>
      <c r="G5" s="163"/>
      <c r="H5" s="163"/>
      <c r="I5" s="163"/>
      <c r="J5" s="163"/>
    </row>
    <row r="6" spans="1:10" s="16" customFormat="1" ht="16.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s="16" customFormat="1" ht="16.5" customHeight="1">
      <c r="A7" s="6" t="s">
        <v>17</v>
      </c>
      <c r="B7" s="3"/>
      <c r="C7" s="3"/>
      <c r="D7" s="3"/>
      <c r="E7" s="3"/>
      <c r="F7" s="3"/>
      <c r="G7" s="3"/>
      <c r="H7" s="3"/>
      <c r="I7" s="3"/>
      <c r="J7" s="3"/>
    </row>
    <row r="8" spans="1:10" s="16" customFormat="1" ht="16.5" customHeight="1">
      <c r="A8" s="6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6.5" customHeight="1">
      <c r="A9" s="164" t="s">
        <v>15</v>
      </c>
      <c r="B9" s="164"/>
      <c r="C9" s="164" t="s">
        <v>3</v>
      </c>
      <c r="D9" s="164" t="s">
        <v>4</v>
      </c>
      <c r="E9" s="164" t="s">
        <v>5</v>
      </c>
      <c r="F9" s="164" t="s">
        <v>6</v>
      </c>
      <c r="G9" s="164"/>
      <c r="H9" s="164"/>
      <c r="I9" s="3"/>
      <c r="J9" s="3"/>
    </row>
    <row r="10" spans="1:10" s="16" customFormat="1" ht="30" customHeight="1">
      <c r="A10" s="164"/>
      <c r="B10" s="164"/>
      <c r="C10" s="164"/>
      <c r="D10" s="164"/>
      <c r="E10" s="164"/>
      <c r="F10" s="107" t="s">
        <v>126</v>
      </c>
      <c r="G10" s="7" t="s">
        <v>127</v>
      </c>
      <c r="H10" s="8" t="s">
        <v>7</v>
      </c>
      <c r="I10" s="3"/>
      <c r="J10" s="3"/>
    </row>
    <row r="11" spans="1:10" s="16" customFormat="1" ht="15.5">
      <c r="A11" s="8" t="s">
        <v>85</v>
      </c>
      <c r="B11" s="7" t="s">
        <v>167</v>
      </c>
      <c r="C11" s="166" t="s">
        <v>145</v>
      </c>
      <c r="D11" s="166" t="s">
        <v>146</v>
      </c>
      <c r="E11" s="169" t="s">
        <v>125</v>
      </c>
      <c r="F11" s="7">
        <v>7.5</v>
      </c>
      <c r="G11" s="172">
        <v>5</v>
      </c>
      <c r="H11" s="175" t="s">
        <v>128</v>
      </c>
      <c r="I11" s="1"/>
      <c r="J11" s="1"/>
    </row>
    <row r="12" spans="1:10" s="16" customFormat="1" ht="15.5">
      <c r="A12" s="8" t="s">
        <v>123</v>
      </c>
      <c r="B12" s="7" t="s">
        <v>167</v>
      </c>
      <c r="C12" s="167"/>
      <c r="D12" s="167"/>
      <c r="E12" s="170"/>
      <c r="F12" s="7">
        <v>15</v>
      </c>
      <c r="G12" s="173"/>
      <c r="H12" s="176"/>
      <c r="I12" s="1"/>
      <c r="J12" s="1"/>
    </row>
    <row r="13" spans="1:10" s="16" customFormat="1" ht="15.5">
      <c r="A13" s="8" t="s">
        <v>124</v>
      </c>
      <c r="B13" s="7" t="s">
        <v>167</v>
      </c>
      <c r="C13" s="168"/>
      <c r="D13" s="168"/>
      <c r="E13" s="171"/>
      <c r="F13" s="7">
        <v>30</v>
      </c>
      <c r="G13" s="174"/>
      <c r="H13" s="177"/>
      <c r="I13" s="1"/>
      <c r="J13" s="1"/>
    </row>
    <row r="14" spans="1:10" s="16" customFormat="1" ht="15.5">
      <c r="A14" s="3"/>
      <c r="B14" s="3"/>
      <c r="C14" s="3"/>
      <c r="D14" s="3"/>
      <c r="E14" s="3"/>
      <c r="F14" s="3"/>
      <c r="G14" s="3"/>
      <c r="H14" s="3"/>
      <c r="I14" s="1"/>
      <c r="J14" s="1"/>
    </row>
    <row r="15" spans="1:10" s="16" customFormat="1" ht="16.5" customHeight="1">
      <c r="A15" s="6" t="s">
        <v>18</v>
      </c>
      <c r="B15" s="3"/>
      <c r="C15" s="3"/>
      <c r="D15" s="3"/>
      <c r="E15" s="3"/>
      <c r="F15" s="3"/>
      <c r="G15" s="3"/>
      <c r="H15" s="3"/>
      <c r="I15" s="5"/>
      <c r="J15" s="5"/>
    </row>
    <row r="16" spans="1:10" s="16" customFormat="1" ht="15.5">
      <c r="A16" s="165"/>
      <c r="B16" s="165"/>
      <c r="C16" s="165"/>
      <c r="D16" s="165"/>
      <c r="E16" s="165"/>
      <c r="F16" s="165"/>
      <c r="G16" s="165"/>
      <c r="H16" s="165"/>
      <c r="I16" s="5"/>
      <c r="J16" s="5"/>
    </row>
    <row r="17" spans="1:10" s="16" customFormat="1" ht="54.75" customHeight="1">
      <c r="A17" s="165" t="s">
        <v>147</v>
      </c>
      <c r="B17" s="165"/>
      <c r="C17" s="165"/>
      <c r="D17" s="165"/>
      <c r="E17" s="165"/>
      <c r="F17" s="165"/>
      <c r="G17" s="165"/>
      <c r="H17" s="165"/>
      <c r="I17" s="5"/>
      <c r="J17" s="5"/>
    </row>
    <row r="18" spans="1:10" s="16" customFormat="1" ht="17.25" customHeight="1">
      <c r="A18" s="6" t="s">
        <v>19</v>
      </c>
      <c r="B18" s="3"/>
      <c r="C18" s="3"/>
      <c r="D18" s="3"/>
      <c r="E18" s="3"/>
      <c r="F18" s="3"/>
      <c r="G18" s="3"/>
      <c r="H18" s="3"/>
      <c r="I18" s="5"/>
      <c r="J18" s="5"/>
    </row>
    <row r="19" spans="1:10" s="16" customFormat="1" ht="16.5" customHeight="1">
      <c r="A19" s="165"/>
      <c r="B19" s="165"/>
      <c r="C19" s="165"/>
      <c r="D19" s="165"/>
      <c r="E19" s="165"/>
      <c r="F19" s="165"/>
      <c r="G19" s="165"/>
      <c r="H19" s="165"/>
      <c r="I19" s="5"/>
      <c r="J19" s="5"/>
    </row>
    <row r="20" spans="1:10" s="16" customFormat="1" ht="60" customHeight="1">
      <c r="A20" s="165" t="s">
        <v>165</v>
      </c>
      <c r="B20" s="165"/>
      <c r="C20" s="165"/>
      <c r="D20" s="165"/>
      <c r="E20" s="165"/>
      <c r="F20" s="165"/>
      <c r="G20" s="165"/>
      <c r="H20" s="165"/>
      <c r="I20" s="5"/>
      <c r="J20" s="5"/>
    </row>
    <row r="21" spans="1:10" s="16" customFormat="1" ht="16.5" customHeight="1">
      <c r="A21" s="6" t="s">
        <v>20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s="16" customFormat="1" ht="16.5" customHeight="1">
      <c r="A22" s="165"/>
      <c r="B22" s="165"/>
      <c r="C22" s="165"/>
      <c r="D22" s="165"/>
      <c r="E22" s="165"/>
      <c r="F22" s="165"/>
      <c r="G22" s="165"/>
      <c r="H22" s="165"/>
      <c r="I22" s="3"/>
      <c r="J22" s="3"/>
    </row>
    <row r="23" spans="1:10" s="16" customFormat="1" ht="61.5" customHeight="1">
      <c r="A23" s="165" t="s">
        <v>106</v>
      </c>
      <c r="B23" s="165"/>
      <c r="C23" s="165"/>
      <c r="D23" s="165"/>
      <c r="E23" s="165"/>
      <c r="F23" s="165"/>
      <c r="G23" s="165"/>
      <c r="H23" s="165"/>
      <c r="I23" s="5"/>
      <c r="J23" s="5"/>
    </row>
    <row r="24" spans="1:10" s="16" customFormat="1" ht="16.5" customHeight="1">
      <c r="A24" s="25"/>
      <c r="B24" s="25"/>
      <c r="C24" s="25"/>
      <c r="D24" s="23"/>
      <c r="E24" s="23"/>
      <c r="F24" s="23"/>
      <c r="G24" s="26"/>
      <c r="H24" s="26"/>
      <c r="I24" s="5"/>
      <c r="J24" s="5"/>
    </row>
    <row r="25" spans="1:10" s="16" customFormat="1" ht="16.5" customHeight="1">
      <c r="A25" s="23"/>
      <c r="B25" s="23"/>
      <c r="C25" s="23"/>
      <c r="D25" s="23"/>
      <c r="E25" s="23"/>
      <c r="F25" s="23"/>
      <c r="G25" s="23"/>
      <c r="H25" s="23"/>
      <c r="I25" s="3"/>
      <c r="J25" s="3"/>
    </row>
    <row r="26" spans="1:10" s="16" customFormat="1" ht="45" customHeight="1">
      <c r="A26" s="23"/>
      <c r="B26" s="23"/>
      <c r="C26" s="23"/>
      <c r="D26" s="23"/>
      <c r="E26" s="23"/>
      <c r="F26" s="23"/>
      <c r="G26" s="23"/>
      <c r="H26" s="23"/>
      <c r="I26" s="5"/>
      <c r="J26" s="5"/>
    </row>
    <row r="27" spans="1:10" s="16" customFormat="1" ht="16.5" customHeight="1">
      <c r="A27" s="23"/>
      <c r="B27" s="23"/>
      <c r="C27" s="23"/>
      <c r="D27" s="23"/>
      <c r="E27" s="23"/>
      <c r="F27" s="23"/>
      <c r="G27" s="23"/>
      <c r="H27" s="23"/>
      <c r="I27" s="5"/>
      <c r="J27" s="5"/>
    </row>
    <row r="28" spans="1:10" s="16" customFormat="1" ht="16.5" customHeight="1">
      <c r="A28" s="23"/>
      <c r="B28" s="23"/>
      <c r="C28" s="23"/>
      <c r="D28" s="23"/>
      <c r="E28" s="23"/>
      <c r="F28" s="23"/>
      <c r="G28" s="23"/>
      <c r="H28" s="23"/>
      <c r="I28" s="3"/>
      <c r="J28" s="3"/>
    </row>
    <row r="29" spans="1:10" s="16" customFormat="1" ht="16.5" customHeight="1">
      <c r="A29" s="23"/>
      <c r="B29" s="23"/>
      <c r="C29" s="23"/>
      <c r="D29" s="23"/>
      <c r="E29" s="23"/>
      <c r="F29" s="23"/>
      <c r="G29" s="23"/>
      <c r="H29" s="23"/>
      <c r="I29" s="5"/>
      <c r="J29" s="5"/>
    </row>
    <row r="30" spans="1:10" s="16" customFormat="1" ht="16.5" customHeight="1">
      <c r="A30" s="23"/>
      <c r="B30" s="23"/>
      <c r="C30" s="23"/>
      <c r="D30" s="23"/>
      <c r="E30" s="23"/>
      <c r="F30" s="23"/>
      <c r="G30" s="23"/>
      <c r="H30" s="23"/>
      <c r="I30" s="4"/>
      <c r="J30" s="4"/>
    </row>
    <row r="31" spans="1:10" ht="16.5" customHeight="1"/>
    <row r="32" spans="1:10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</sheetData>
  <mergeCells count="18">
    <mergeCell ref="A20:H20"/>
    <mergeCell ref="A22:H22"/>
    <mergeCell ref="A23:H23"/>
    <mergeCell ref="C11:C13"/>
    <mergeCell ref="D11:D13"/>
    <mergeCell ref="A16:H16"/>
    <mergeCell ref="A17:H17"/>
    <mergeCell ref="A19:H19"/>
    <mergeCell ref="E11:E13"/>
    <mergeCell ref="G11:G13"/>
    <mergeCell ref="H11:H13"/>
    <mergeCell ref="A1:H1"/>
    <mergeCell ref="A5:J5"/>
    <mergeCell ref="A9:B10"/>
    <mergeCell ref="C9:C10"/>
    <mergeCell ref="D9:D10"/>
    <mergeCell ref="E9:E10"/>
    <mergeCell ref="F9:H9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F87D-019C-477A-A9E4-A5DAD7B6E034}">
  <sheetPr>
    <tabColor theme="5"/>
    <pageSetUpPr fitToPage="1"/>
  </sheetPr>
  <dimension ref="A1:O70"/>
  <sheetViews>
    <sheetView zoomScale="55" zoomScaleNormal="55" zoomScaleSheetLayoutView="70" workbookViewId="0">
      <selection activeCell="N32" sqref="N32:N33"/>
    </sheetView>
  </sheetViews>
  <sheetFormatPr defaultColWidth="11" defaultRowHeight="14"/>
  <cols>
    <col min="1" max="1" width="16.58203125" style="23" customWidth="1"/>
    <col min="2" max="2" width="19.08203125" style="23" customWidth="1"/>
    <col min="3" max="14" width="19.83203125" style="23" customWidth="1"/>
    <col min="15" max="16384" width="11" style="23"/>
  </cols>
  <sheetData>
    <row r="1" spans="1:15" ht="37.5" customHeight="1">
      <c r="A1" s="161" t="s">
        <v>28</v>
      </c>
      <c r="B1" s="161"/>
      <c r="C1" s="161"/>
      <c r="D1" s="161"/>
      <c r="E1" s="161"/>
      <c r="F1" s="161"/>
      <c r="G1" s="161"/>
      <c r="H1" s="161"/>
      <c r="I1" s="161"/>
      <c r="J1" s="161"/>
    </row>
    <row r="2" spans="1:15" s="16" customFormat="1" ht="17.25" customHeight="1">
      <c r="A2" s="10" t="s">
        <v>27</v>
      </c>
      <c r="B2" s="9"/>
      <c r="C2" s="9"/>
      <c r="D2" s="9"/>
      <c r="E2" s="9"/>
      <c r="F2" s="9"/>
      <c r="G2" s="9"/>
      <c r="H2" s="9"/>
      <c r="I2" s="9"/>
      <c r="J2" s="9"/>
    </row>
    <row r="3" spans="1:15" s="16" customFormat="1" ht="17.25" customHeight="1">
      <c r="A3" s="162"/>
      <c r="B3" s="162"/>
      <c r="C3" s="108" t="s">
        <v>85</v>
      </c>
      <c r="D3" s="108" t="s">
        <v>123</v>
      </c>
      <c r="E3" s="155" t="s">
        <v>124</v>
      </c>
      <c r="F3" s="156" t="s">
        <v>187</v>
      </c>
      <c r="G3" s="156" t="s">
        <v>188</v>
      </c>
      <c r="H3" s="111"/>
      <c r="I3" s="111"/>
      <c r="J3" s="111"/>
      <c r="K3" s="111"/>
      <c r="L3" s="111"/>
      <c r="M3" s="9"/>
      <c r="N3" s="9"/>
      <c r="O3" s="9"/>
    </row>
    <row r="4" spans="1:15" s="16" customFormat="1" ht="17.25" customHeight="1">
      <c r="A4" s="162"/>
      <c r="B4" s="162"/>
      <c r="C4" s="112" t="s">
        <v>148</v>
      </c>
      <c r="D4" s="109" t="s">
        <v>149</v>
      </c>
      <c r="E4" s="122" t="s">
        <v>166</v>
      </c>
      <c r="F4" s="112" t="s">
        <v>149</v>
      </c>
      <c r="G4" s="112" t="s">
        <v>166</v>
      </c>
      <c r="H4" s="111"/>
      <c r="I4" s="111"/>
      <c r="J4" s="111"/>
      <c r="K4" s="111"/>
      <c r="L4" s="111"/>
      <c r="M4" s="9"/>
      <c r="N4" s="9"/>
      <c r="O4" s="9"/>
    </row>
    <row r="5" spans="1:15" s="16" customFormat="1" ht="17.25" customHeight="1">
      <c r="A5" s="162"/>
      <c r="B5" s="162"/>
      <c r="C5" s="11" t="s">
        <v>150</v>
      </c>
      <c r="D5" s="11" t="s">
        <v>150</v>
      </c>
      <c r="E5" s="11" t="s">
        <v>150</v>
      </c>
      <c r="F5" s="11" t="s">
        <v>150</v>
      </c>
      <c r="G5" s="11" t="s">
        <v>150</v>
      </c>
      <c r="H5" s="111"/>
      <c r="I5" s="111"/>
      <c r="J5" s="111"/>
      <c r="K5" s="111"/>
      <c r="L5" s="111"/>
      <c r="M5" s="9"/>
      <c r="N5" s="9"/>
      <c r="O5" s="9"/>
    </row>
    <row r="6" spans="1:15" s="16" customFormat="1" ht="17.25" customHeight="1">
      <c r="A6" s="11" t="s">
        <v>24</v>
      </c>
      <c r="B6" s="11" t="s">
        <v>25</v>
      </c>
      <c r="C6" s="17" t="s">
        <v>84</v>
      </c>
      <c r="D6" s="17" t="s">
        <v>84</v>
      </c>
      <c r="E6" s="17" t="s">
        <v>84</v>
      </c>
      <c r="F6" s="17" t="s">
        <v>84</v>
      </c>
      <c r="G6" s="17" t="s">
        <v>84</v>
      </c>
      <c r="H6" s="111"/>
      <c r="I6" s="111"/>
      <c r="J6" s="111"/>
      <c r="K6" s="111"/>
      <c r="L6" s="111"/>
      <c r="M6" s="9"/>
      <c r="N6" s="9"/>
      <c r="O6" s="9"/>
    </row>
    <row r="7" spans="1:15" s="16" customFormat="1" ht="17.25" customHeight="1">
      <c r="A7" s="73" t="s">
        <v>22</v>
      </c>
      <c r="B7" s="74" t="s">
        <v>13</v>
      </c>
      <c r="C7" s="123">
        <v>1</v>
      </c>
      <c r="D7" s="123">
        <v>0.5</v>
      </c>
      <c r="E7" s="123">
        <v>1</v>
      </c>
      <c r="F7" s="123">
        <v>0.5</v>
      </c>
      <c r="G7" s="123">
        <v>1</v>
      </c>
      <c r="H7" s="111"/>
      <c r="I7" s="111"/>
      <c r="J7" s="111"/>
      <c r="K7" s="111"/>
      <c r="L7" s="111"/>
      <c r="M7" s="9"/>
      <c r="N7" s="9"/>
      <c r="O7" s="9"/>
    </row>
    <row r="8" spans="1:15" s="16" customFormat="1" ht="17.25" customHeight="1">
      <c r="A8" s="13" t="s">
        <v>23</v>
      </c>
      <c r="B8" s="12" t="s">
        <v>12</v>
      </c>
      <c r="C8" s="124">
        <v>23.37</v>
      </c>
      <c r="D8" s="124">
        <v>50.37</v>
      </c>
      <c r="E8" s="124">
        <v>72.77</v>
      </c>
      <c r="F8" s="124">
        <v>50.37</v>
      </c>
      <c r="G8" s="124">
        <v>72.77</v>
      </c>
      <c r="H8" s="111"/>
      <c r="I8" s="111"/>
      <c r="J8" s="111"/>
      <c r="K8" s="111"/>
      <c r="L8" s="111"/>
      <c r="M8" s="9"/>
      <c r="N8" s="9"/>
      <c r="O8" s="9"/>
    </row>
    <row r="9" spans="1:15" s="16" customFormat="1" ht="17.25" customHeight="1">
      <c r="A9" s="13" t="s">
        <v>169</v>
      </c>
      <c r="B9" s="12" t="s">
        <v>173</v>
      </c>
      <c r="C9" s="124">
        <v>665.56</v>
      </c>
      <c r="D9" s="124">
        <v>1339.01</v>
      </c>
      <c r="E9" s="124">
        <v>3333.46</v>
      </c>
      <c r="F9" s="124">
        <v>1339.01</v>
      </c>
      <c r="G9" s="124">
        <v>3333.46</v>
      </c>
      <c r="H9" s="111"/>
      <c r="I9" s="111"/>
      <c r="J9" s="111"/>
      <c r="K9" s="111"/>
      <c r="L9" s="111"/>
      <c r="M9" s="9"/>
      <c r="N9" s="9"/>
      <c r="O9" s="9"/>
    </row>
    <row r="10" spans="1:15" s="16" customFormat="1" ht="17.25" customHeight="1">
      <c r="A10" s="13" t="s">
        <v>177</v>
      </c>
      <c r="B10" s="12" t="s">
        <v>173</v>
      </c>
      <c r="C10" s="124">
        <v>2074.0825</v>
      </c>
      <c r="D10" s="124">
        <v>4226.8125</v>
      </c>
      <c r="E10" s="124">
        <v>9031.5825000000004</v>
      </c>
      <c r="F10" s="124">
        <v>4226.8125</v>
      </c>
      <c r="G10" s="124">
        <v>9031.5825000000004</v>
      </c>
      <c r="H10" s="111"/>
      <c r="I10" s="111"/>
      <c r="J10" s="111"/>
      <c r="K10" s="111"/>
      <c r="L10" s="111"/>
      <c r="M10" s="9"/>
      <c r="N10" s="9"/>
      <c r="O10" s="9"/>
    </row>
    <row r="11" spans="1:15" s="16" customFormat="1" ht="17.25" customHeight="1">
      <c r="A11" s="13" t="s">
        <v>184</v>
      </c>
      <c r="B11" s="12" t="s">
        <v>173</v>
      </c>
      <c r="C11" s="124">
        <v>2980.2024999999999</v>
      </c>
      <c r="D11" s="124">
        <v>5562.0524999999998</v>
      </c>
      <c r="E11" s="124">
        <v>10221.543</v>
      </c>
      <c r="F11" s="124">
        <v>5539.0124999999998</v>
      </c>
      <c r="G11" s="124">
        <v>10111.303</v>
      </c>
      <c r="H11" s="111"/>
      <c r="I11" s="111"/>
      <c r="J11" s="111"/>
      <c r="K11" s="111"/>
      <c r="L11" s="111"/>
      <c r="M11" s="9"/>
      <c r="N11" s="9"/>
      <c r="O11" s="9"/>
    </row>
    <row r="12" spans="1:15" s="16" customFormat="1" ht="17.25" customHeight="1">
      <c r="A12" s="13" t="s">
        <v>139</v>
      </c>
      <c r="B12" s="12" t="s">
        <v>173</v>
      </c>
      <c r="C12" s="124">
        <v>3032.6902</v>
      </c>
      <c r="D12" s="124">
        <v>5585.4847</v>
      </c>
      <c r="E12" s="124">
        <v>10227.813</v>
      </c>
      <c r="F12" s="124">
        <v>5549.9497000000001</v>
      </c>
      <c r="G12" s="124">
        <v>10333.870999999999</v>
      </c>
      <c r="H12" s="111"/>
      <c r="I12" s="111"/>
      <c r="J12" s="111"/>
      <c r="K12" s="111"/>
      <c r="L12" s="111"/>
      <c r="M12" s="9"/>
      <c r="N12" s="9"/>
      <c r="O12" s="9"/>
    </row>
    <row r="13" spans="1:15" s="16" customFormat="1" ht="17.25" customHeight="1">
      <c r="A13" s="13" t="s">
        <v>185</v>
      </c>
      <c r="B13" s="12" t="s">
        <v>13</v>
      </c>
      <c r="C13" s="124">
        <v>62.727012999999999</v>
      </c>
      <c r="D13" s="124">
        <v>60.155346999999999</v>
      </c>
      <c r="E13" s="124">
        <v>33.434893000000002</v>
      </c>
      <c r="F13" s="124">
        <v>36.100479</v>
      </c>
      <c r="G13" s="124">
        <v>71.202948000000006</v>
      </c>
      <c r="H13" s="111"/>
      <c r="I13" s="111"/>
      <c r="J13" s="111"/>
      <c r="K13" s="111"/>
      <c r="L13" s="111"/>
      <c r="M13" s="9"/>
      <c r="N13" s="9"/>
      <c r="O13" s="9"/>
    </row>
    <row r="14" spans="1:15" s="16" customFormat="1" ht="17.25" customHeight="1">
      <c r="A14" s="15" t="s">
        <v>186</v>
      </c>
      <c r="B14" s="103" t="s">
        <v>13</v>
      </c>
      <c r="C14" s="125">
        <v>768</v>
      </c>
      <c r="D14" s="125">
        <v>864</v>
      </c>
      <c r="E14" s="125">
        <v>768</v>
      </c>
      <c r="F14" s="125">
        <v>768</v>
      </c>
      <c r="G14" s="125">
        <v>672</v>
      </c>
      <c r="H14" s="111"/>
      <c r="I14" s="111"/>
      <c r="J14" s="111"/>
      <c r="K14" s="111"/>
      <c r="L14" s="111"/>
      <c r="M14" s="9"/>
      <c r="N14" s="9"/>
      <c r="O14" s="9"/>
    </row>
    <row r="15" spans="1:15" s="16" customFormat="1" ht="17.25" customHeight="1">
      <c r="A15" s="13" t="s">
        <v>172</v>
      </c>
      <c r="B15" s="12" t="s">
        <v>176</v>
      </c>
      <c r="C15" s="124">
        <v>3.1160000000000001</v>
      </c>
      <c r="D15" s="124">
        <v>3.3580000000000001</v>
      </c>
      <c r="E15" s="124">
        <v>2.4256666999999998</v>
      </c>
      <c r="F15" s="124">
        <v>3.3580000000000001</v>
      </c>
      <c r="G15" s="124">
        <v>2.4256666999999998</v>
      </c>
      <c r="H15" s="111"/>
      <c r="I15" s="111"/>
      <c r="J15" s="111"/>
      <c r="K15" s="111"/>
      <c r="L15" s="111"/>
      <c r="M15" s="9"/>
      <c r="N15" s="9"/>
      <c r="O15" s="9"/>
    </row>
    <row r="16" spans="1:15" s="16" customFormat="1" ht="17.25" customHeight="1">
      <c r="A16" s="13" t="s">
        <v>170</v>
      </c>
      <c r="B16" s="12" t="s">
        <v>174</v>
      </c>
      <c r="C16" s="124">
        <v>88.74</v>
      </c>
      <c r="D16" s="124">
        <v>89.27</v>
      </c>
      <c r="E16" s="124">
        <v>111.12</v>
      </c>
      <c r="F16" s="124">
        <v>89.27</v>
      </c>
      <c r="G16" s="124">
        <v>111.12</v>
      </c>
      <c r="H16" s="111"/>
      <c r="I16" s="111"/>
      <c r="J16" s="111"/>
      <c r="K16" s="111"/>
      <c r="L16" s="111"/>
      <c r="M16" s="9"/>
      <c r="N16" s="9"/>
      <c r="O16" s="9"/>
    </row>
    <row r="17" spans="1:15" s="16" customFormat="1" ht="17.25" customHeight="1">
      <c r="A17" s="13" t="s">
        <v>178</v>
      </c>
      <c r="B17" s="12" t="s">
        <v>174</v>
      </c>
      <c r="C17" s="124">
        <v>276.54433</v>
      </c>
      <c r="D17" s="124">
        <v>281.78750000000002</v>
      </c>
      <c r="E17" s="124">
        <v>301.05275</v>
      </c>
      <c r="F17" s="124">
        <v>281.78750000000002</v>
      </c>
      <c r="G17" s="124">
        <v>301.05275</v>
      </c>
      <c r="H17" s="111"/>
      <c r="I17" s="111"/>
      <c r="J17" s="111"/>
      <c r="K17" s="111"/>
      <c r="L17" s="111"/>
      <c r="M17" s="9"/>
      <c r="N17" s="9"/>
      <c r="O17" s="9"/>
    </row>
    <row r="18" spans="1:15" s="16" customFormat="1" ht="17.25" customHeight="1">
      <c r="A18" s="13" t="s">
        <v>189</v>
      </c>
      <c r="B18" s="12" t="s">
        <v>174</v>
      </c>
      <c r="C18" s="124">
        <v>397.36032999999998</v>
      </c>
      <c r="D18" s="124">
        <v>370.80349999999999</v>
      </c>
      <c r="E18" s="124">
        <v>340.71807999999999</v>
      </c>
      <c r="F18" s="124">
        <v>369.26749999999998</v>
      </c>
      <c r="G18" s="124">
        <v>337.04342000000003</v>
      </c>
      <c r="H18" s="111"/>
      <c r="I18" s="111"/>
      <c r="J18" s="111"/>
      <c r="K18" s="111"/>
      <c r="L18" s="111"/>
      <c r="M18" s="9"/>
      <c r="N18" s="9"/>
      <c r="O18" s="9"/>
    </row>
    <row r="19" spans="1:15" s="16" customFormat="1" ht="17.25" customHeight="1">
      <c r="A19" s="15" t="s">
        <v>171</v>
      </c>
      <c r="B19" s="103" t="s">
        <v>174</v>
      </c>
      <c r="C19" s="104">
        <v>404.35869000000002</v>
      </c>
      <c r="D19" s="104">
        <v>372.36563999999998</v>
      </c>
      <c r="E19" s="104">
        <v>340.92711000000003</v>
      </c>
      <c r="F19" s="104">
        <v>369.99664999999999</v>
      </c>
      <c r="G19" s="104">
        <v>344.46238</v>
      </c>
      <c r="H19" s="111"/>
      <c r="I19" s="111"/>
      <c r="J19" s="111"/>
      <c r="K19" s="111"/>
      <c r="L19" s="111"/>
      <c r="M19" s="9"/>
      <c r="N19" s="9"/>
      <c r="O19" s="9"/>
    </row>
    <row r="20" spans="1:15" s="16" customFormat="1" ht="17.25" customHeight="1">
      <c r="A20" s="18" t="s">
        <v>87</v>
      </c>
      <c r="B20" s="18"/>
      <c r="C20" s="19"/>
      <c r="D20" s="20"/>
      <c r="E20" s="19"/>
      <c r="F20" s="20"/>
      <c r="G20" s="9"/>
      <c r="H20" s="9"/>
      <c r="I20" s="9"/>
      <c r="J20" s="9"/>
      <c r="K20" s="9"/>
      <c r="L20" s="9"/>
      <c r="M20" s="9"/>
      <c r="N20" s="9"/>
      <c r="O20" s="9"/>
    </row>
    <row r="21" spans="1:15" s="16" customFormat="1" ht="17.25" customHeight="1">
      <c r="A21" s="21"/>
      <c r="B21" s="22"/>
      <c r="C21" s="22"/>
      <c r="D21" s="22"/>
      <c r="E21" s="22"/>
      <c r="F21" s="22"/>
      <c r="G21" s="9"/>
      <c r="H21" s="9"/>
      <c r="I21" s="9"/>
      <c r="J21" s="9"/>
      <c r="K21" s="9"/>
      <c r="L21" s="9"/>
      <c r="M21" s="9"/>
      <c r="N21" s="9"/>
      <c r="O21" s="9"/>
    </row>
    <row r="22" spans="1:15" s="16" customFormat="1" ht="17.25" customHeight="1">
      <c r="A22" s="14"/>
      <c r="B22" s="14"/>
      <c r="C22" s="14"/>
      <c r="D22" s="14"/>
      <c r="E22" s="14"/>
      <c r="G22" s="9"/>
      <c r="H22" s="9"/>
      <c r="I22" s="9"/>
      <c r="J22" s="9"/>
    </row>
    <row r="23" spans="1:15" s="16" customFormat="1" ht="17.25" customHeight="1">
      <c r="A23" s="10" t="s">
        <v>26</v>
      </c>
      <c r="B23" s="14"/>
      <c r="C23" s="14"/>
      <c r="D23" s="14"/>
    </row>
    <row r="24" spans="1:15" s="16" customFormat="1" ht="17.25" customHeight="1">
      <c r="C24" s="158" t="s">
        <v>30</v>
      </c>
      <c r="D24" s="159"/>
      <c r="E24" s="159"/>
      <c r="F24" s="160"/>
      <c r="G24" s="158" t="s">
        <v>39</v>
      </c>
      <c r="H24" s="159"/>
      <c r="I24" s="159"/>
      <c r="J24" s="160"/>
    </row>
    <row r="25" spans="1:15" s="16" customFormat="1" ht="17.25" customHeight="1">
      <c r="C25" s="27"/>
      <c r="D25" s="28"/>
      <c r="E25" s="28"/>
      <c r="F25" s="29"/>
      <c r="G25" s="27"/>
      <c r="H25" s="28"/>
      <c r="I25" s="28"/>
      <c r="J25" s="29"/>
    </row>
    <row r="26" spans="1:15" ht="17.25" customHeight="1">
      <c r="C26" s="30"/>
      <c r="D26" s="31"/>
      <c r="E26" s="31"/>
      <c r="F26" s="32"/>
      <c r="G26" s="30"/>
      <c r="H26" s="31"/>
      <c r="I26" s="31"/>
      <c r="J26" s="32"/>
    </row>
    <row r="27" spans="1:15" ht="17.25" customHeight="1">
      <c r="C27" s="30"/>
      <c r="D27" s="31"/>
      <c r="E27" s="31"/>
      <c r="F27" s="32"/>
      <c r="G27" s="30"/>
      <c r="H27" s="31"/>
      <c r="I27" s="31"/>
      <c r="J27" s="32"/>
    </row>
    <row r="28" spans="1:15" ht="17.25" customHeight="1">
      <c r="C28" s="30"/>
      <c r="D28" s="31"/>
      <c r="E28" s="31"/>
      <c r="F28" s="32"/>
      <c r="G28" s="30"/>
      <c r="H28" s="31"/>
      <c r="I28" s="31"/>
      <c r="J28" s="32"/>
    </row>
    <row r="29" spans="1:15" ht="17.25" customHeight="1">
      <c r="C29" s="30"/>
      <c r="D29" s="31"/>
      <c r="E29" s="31"/>
      <c r="F29" s="32"/>
      <c r="G29" s="30"/>
      <c r="H29" s="31"/>
      <c r="I29" s="31"/>
      <c r="J29" s="32"/>
    </row>
    <row r="30" spans="1:15" ht="17.25" customHeight="1">
      <c r="C30" s="30"/>
      <c r="D30" s="31"/>
      <c r="E30" s="31"/>
      <c r="F30" s="32"/>
      <c r="G30" s="30"/>
      <c r="H30" s="31"/>
      <c r="I30" s="31"/>
      <c r="J30" s="32"/>
    </row>
    <row r="31" spans="1:15" ht="17.25" customHeight="1">
      <c r="C31" s="30"/>
      <c r="D31" s="31"/>
      <c r="E31" s="31"/>
      <c r="F31" s="32"/>
      <c r="G31" s="30"/>
      <c r="H31" s="31"/>
      <c r="I31" s="31"/>
      <c r="J31" s="32"/>
    </row>
    <row r="32" spans="1:15" ht="17.25" customHeight="1">
      <c r="C32" s="30"/>
      <c r="D32" s="31"/>
      <c r="E32" s="31"/>
      <c r="F32" s="32"/>
      <c r="G32" s="30"/>
      <c r="H32" s="31"/>
      <c r="I32" s="31"/>
      <c r="J32" s="32"/>
    </row>
    <row r="33" spans="3:11" ht="17.25" customHeight="1">
      <c r="C33" s="30"/>
      <c r="D33" s="31"/>
      <c r="E33" s="31"/>
      <c r="F33" s="32"/>
      <c r="G33" s="30"/>
      <c r="H33" s="31"/>
      <c r="I33" s="31"/>
      <c r="J33" s="32"/>
    </row>
    <row r="34" spans="3:11" ht="17.25" customHeight="1">
      <c r="C34" s="30"/>
      <c r="D34" s="31"/>
      <c r="E34" s="31"/>
      <c r="F34" s="32"/>
      <c r="G34" s="30"/>
      <c r="H34" s="31"/>
      <c r="I34" s="31"/>
      <c r="J34" s="32"/>
    </row>
    <row r="35" spans="3:11" ht="17.25" customHeight="1">
      <c r="C35" s="30"/>
      <c r="D35" s="31"/>
      <c r="E35" s="31"/>
      <c r="F35" s="32"/>
      <c r="G35" s="30"/>
      <c r="H35" s="31"/>
      <c r="I35" s="31"/>
      <c r="J35" s="32"/>
    </row>
    <row r="36" spans="3:11" ht="17.25" customHeight="1">
      <c r="C36" s="30"/>
      <c r="D36" s="31"/>
      <c r="E36" s="31"/>
      <c r="F36" s="32"/>
      <c r="G36" s="30"/>
      <c r="H36" s="31"/>
      <c r="I36" s="31"/>
      <c r="J36" s="32"/>
    </row>
    <row r="37" spans="3:11" ht="17.25" customHeight="1">
      <c r="C37" s="30"/>
      <c r="D37" s="31"/>
      <c r="E37" s="31"/>
      <c r="F37" s="32"/>
      <c r="G37" s="30"/>
      <c r="H37" s="31"/>
      <c r="I37" s="31"/>
      <c r="J37" s="32"/>
    </row>
    <row r="38" spans="3:11" ht="17.25" customHeight="1">
      <c r="C38" s="30"/>
      <c r="D38" s="31"/>
      <c r="E38" s="31"/>
      <c r="F38" s="32"/>
      <c r="G38" s="30"/>
      <c r="H38" s="31"/>
      <c r="I38" s="31"/>
      <c r="J38" s="32"/>
    </row>
    <row r="39" spans="3:11" ht="17.25" customHeight="1">
      <c r="C39" s="30"/>
      <c r="D39" s="31"/>
      <c r="E39" s="31"/>
      <c r="F39" s="32"/>
      <c r="G39" s="30"/>
      <c r="H39" s="31"/>
      <c r="I39" s="31"/>
      <c r="J39" s="32"/>
    </row>
    <row r="40" spans="3:11" ht="17.25" customHeight="1">
      <c r="C40" s="30"/>
      <c r="D40" s="31"/>
      <c r="E40" s="31"/>
      <c r="F40" s="32"/>
      <c r="G40" s="30"/>
      <c r="H40" s="31"/>
      <c r="I40" s="31"/>
      <c r="J40" s="32"/>
    </row>
    <row r="41" spans="3:11" ht="17.25" customHeight="1">
      <c r="C41" s="33"/>
      <c r="D41" s="34"/>
      <c r="E41" s="34"/>
      <c r="F41" s="35"/>
      <c r="G41" s="33"/>
      <c r="H41" s="34"/>
      <c r="I41" s="34"/>
      <c r="J41" s="35"/>
    </row>
    <row r="46" spans="3:11" ht="17">
      <c r="C46"/>
      <c r="D46"/>
      <c r="E46"/>
      <c r="F46"/>
    </row>
    <row r="47" spans="3:11" ht="17">
      <c r="C47"/>
      <c r="D47"/>
      <c r="E47"/>
      <c r="F47"/>
    </row>
    <row r="48" spans="3:11" ht="17">
      <c r="C48"/>
      <c r="D48"/>
      <c r="E48"/>
      <c r="F48"/>
      <c r="G48"/>
      <c r="H48"/>
      <c r="I48"/>
      <c r="J48"/>
      <c r="K48"/>
    </row>
    <row r="49" spans="2:11" ht="17">
      <c r="C49"/>
      <c r="D49"/>
      <c r="E49"/>
      <c r="F49"/>
      <c r="G49"/>
      <c r="H49"/>
      <c r="I49"/>
      <c r="J49"/>
      <c r="K49"/>
    </row>
    <row r="50" spans="2:11" ht="17">
      <c r="C50"/>
      <c r="D50"/>
      <c r="E50"/>
      <c r="F50"/>
      <c r="G50"/>
      <c r="H50"/>
      <c r="I50"/>
      <c r="J50"/>
      <c r="K50"/>
    </row>
    <row r="51" spans="2:11" ht="17">
      <c r="C51"/>
      <c r="D51"/>
      <c r="E51"/>
      <c r="F51"/>
      <c r="G51"/>
      <c r="H51"/>
      <c r="I51"/>
      <c r="J51"/>
      <c r="K51"/>
    </row>
    <row r="52" spans="2:11" ht="17">
      <c r="C52"/>
      <c r="D52"/>
      <c r="E52"/>
      <c r="F52"/>
    </row>
    <row r="53" spans="2:11" ht="17">
      <c r="C53"/>
      <c r="D53"/>
      <c r="E53"/>
      <c r="F53"/>
    </row>
    <row r="54" spans="2:11" ht="17">
      <c r="B54"/>
      <c r="C54"/>
      <c r="D54"/>
      <c r="E54"/>
      <c r="F54"/>
      <c r="G54"/>
      <c r="H54"/>
      <c r="I54"/>
      <c r="J54"/>
    </row>
    <row r="55" spans="2:11" ht="17">
      <c r="B55"/>
      <c r="C55"/>
      <c r="D55"/>
      <c r="E55"/>
      <c r="F55"/>
      <c r="G55"/>
      <c r="H55"/>
      <c r="I55"/>
      <c r="J55"/>
    </row>
    <row r="56" spans="2:11" ht="17">
      <c r="B56"/>
      <c r="C56"/>
      <c r="D56"/>
      <c r="E56"/>
      <c r="F56"/>
      <c r="G56"/>
      <c r="H56"/>
      <c r="I56"/>
      <c r="J56"/>
    </row>
    <row r="57" spans="2:11" ht="17">
      <c r="B57"/>
      <c r="C57"/>
      <c r="D57"/>
      <c r="E57"/>
      <c r="F57"/>
      <c r="G57"/>
      <c r="H57"/>
      <c r="I57"/>
      <c r="J57"/>
    </row>
    <row r="58" spans="2:11" ht="17">
      <c r="C58"/>
      <c r="D58"/>
      <c r="E58"/>
      <c r="F58"/>
    </row>
    <row r="59" spans="2:11" ht="17">
      <c r="C59"/>
      <c r="D59"/>
      <c r="E59"/>
      <c r="F59"/>
    </row>
    <row r="60" spans="2:11" ht="17">
      <c r="C60"/>
      <c r="D60"/>
      <c r="E60"/>
      <c r="F60"/>
    </row>
    <row r="61" spans="2:11" ht="17">
      <c r="C61"/>
      <c r="D61"/>
      <c r="E61" s="157"/>
      <c r="F61" s="157"/>
    </row>
    <row r="62" spans="2:11" ht="17">
      <c r="B62"/>
      <c r="C62"/>
      <c r="D62"/>
      <c r="E62" s="157"/>
      <c r="F62" s="157"/>
    </row>
    <row r="63" spans="2:11" ht="17">
      <c r="B63"/>
      <c r="C63"/>
      <c r="D63"/>
      <c r="E63"/>
    </row>
    <row r="64" spans="2:11" ht="17">
      <c r="B64"/>
      <c r="C64"/>
      <c r="D64"/>
      <c r="E64"/>
    </row>
    <row r="65" spans="2:5" ht="17">
      <c r="B65"/>
      <c r="C65"/>
      <c r="D65"/>
      <c r="E65"/>
    </row>
    <row r="66" spans="2:5" ht="17">
      <c r="B66"/>
      <c r="C66"/>
      <c r="D66"/>
      <c r="E66"/>
    </row>
    <row r="67" spans="2:5" ht="17">
      <c r="B67"/>
      <c r="C67"/>
      <c r="D67"/>
      <c r="E67"/>
    </row>
    <row r="68" spans="2:5" ht="17">
      <c r="B68"/>
      <c r="C68"/>
      <c r="D68"/>
      <c r="E68"/>
    </row>
    <row r="69" spans="2:5" ht="17">
      <c r="B69"/>
      <c r="C69"/>
      <c r="D69"/>
      <c r="E69"/>
    </row>
    <row r="70" spans="2:5" ht="17">
      <c r="B70"/>
      <c r="C70"/>
      <c r="D70"/>
      <c r="E70"/>
    </row>
  </sheetData>
  <mergeCells count="4">
    <mergeCell ref="C24:F24"/>
    <mergeCell ref="G24:J24"/>
    <mergeCell ref="A1:J1"/>
    <mergeCell ref="A3:B5"/>
  </mergeCells>
  <phoneticPr fontId="18" type="noConversion"/>
  <pageMargins left="0.7" right="0.7" top="0.75" bottom="0.75" header="0.3" footer="0.3"/>
  <pageSetup paperSize="9" scale="4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AI102"/>
  <sheetViews>
    <sheetView topLeftCell="B70" zoomScale="70" zoomScaleNormal="70" workbookViewId="0">
      <selection activeCell="J101" sqref="J101"/>
    </sheetView>
  </sheetViews>
  <sheetFormatPr defaultColWidth="9" defaultRowHeight="14"/>
  <cols>
    <col min="1" max="10" width="17.5" style="23" customWidth="1"/>
    <col min="11" max="11" width="6.08203125" style="42" customWidth="1"/>
    <col min="12" max="18" width="17.5" style="23" customWidth="1"/>
    <col min="19" max="19" width="6.08203125" style="42" customWidth="1"/>
    <col min="20" max="26" width="17.5" style="23" customWidth="1"/>
    <col min="27" max="27" width="6.08203125" style="42" customWidth="1"/>
    <col min="28" max="34" width="17.5" style="23" customWidth="1"/>
    <col min="35" max="35" width="6.08203125" style="42" customWidth="1"/>
    <col min="36" max="16384" width="9" style="23"/>
  </cols>
  <sheetData>
    <row r="1" spans="1:35">
      <c r="A1" s="186" t="s">
        <v>91</v>
      </c>
      <c r="B1" s="186"/>
      <c r="C1" s="186"/>
      <c r="D1" s="186"/>
      <c r="E1" s="186"/>
      <c r="F1" s="186"/>
      <c r="G1" s="186"/>
      <c r="H1" s="186"/>
      <c r="I1" s="186"/>
      <c r="J1" s="186"/>
      <c r="L1" s="186" t="s">
        <v>91</v>
      </c>
      <c r="M1" s="186"/>
      <c r="N1" s="186"/>
      <c r="O1" s="186"/>
      <c r="P1" s="186"/>
      <c r="Q1" s="186"/>
      <c r="R1" s="186"/>
      <c r="T1" s="186" t="s">
        <v>91</v>
      </c>
      <c r="U1" s="186"/>
      <c r="V1" s="186"/>
      <c r="W1" s="186"/>
      <c r="X1" s="186"/>
      <c r="Y1" s="186"/>
      <c r="Z1" s="186"/>
      <c r="AB1" s="186" t="s">
        <v>91</v>
      </c>
      <c r="AC1" s="186"/>
      <c r="AD1" s="186"/>
      <c r="AE1" s="186"/>
      <c r="AF1" s="186"/>
      <c r="AG1" s="186"/>
      <c r="AH1" s="186"/>
    </row>
    <row r="2" spans="1:35" ht="17">
      <c r="A2" s="43" t="s">
        <v>33</v>
      </c>
      <c r="B2" s="44" t="s">
        <v>151</v>
      </c>
      <c r="C2" s="44"/>
      <c r="D2" s="44"/>
      <c r="E2" s="44"/>
      <c r="F2" s="44"/>
      <c r="G2" s="44"/>
      <c r="H2" s="44"/>
      <c r="I2" s="44"/>
      <c r="J2" s="44"/>
      <c r="L2" s="43" t="s">
        <v>33</v>
      </c>
      <c r="M2" s="44" t="s">
        <v>151</v>
      </c>
      <c r="N2" s="44"/>
      <c r="O2" s="44"/>
      <c r="P2" s="44"/>
      <c r="Q2" s="44"/>
      <c r="R2" s="44"/>
      <c r="T2" s="43" t="s">
        <v>33</v>
      </c>
      <c r="U2" s="44" t="s">
        <v>151</v>
      </c>
      <c r="V2" s="44"/>
      <c r="W2" s="44"/>
      <c r="X2" s="44"/>
      <c r="Y2" s="44"/>
      <c r="Z2" s="44"/>
      <c r="AB2" s="43" t="s">
        <v>33</v>
      </c>
      <c r="AC2" s="44" t="s">
        <v>151</v>
      </c>
      <c r="AD2" s="44"/>
      <c r="AE2" s="44"/>
      <c r="AF2" s="44"/>
      <c r="AG2" s="44"/>
      <c r="AH2" s="44"/>
    </row>
    <row r="3" spans="1:35" ht="17.25" customHeight="1">
      <c r="A3" s="43" t="s">
        <v>32</v>
      </c>
      <c r="B3" s="45" t="s">
        <v>108</v>
      </c>
      <c r="C3" s="44"/>
      <c r="D3" s="44"/>
      <c r="E3" s="44"/>
      <c r="F3" s="44"/>
      <c r="G3" s="44"/>
      <c r="H3" s="44"/>
      <c r="I3" s="44"/>
      <c r="J3" s="44"/>
      <c r="L3" s="43" t="s">
        <v>32</v>
      </c>
      <c r="M3" s="45" t="s">
        <v>108</v>
      </c>
      <c r="N3" s="44"/>
      <c r="O3" s="44"/>
      <c r="P3" s="44"/>
      <c r="Q3" s="44"/>
      <c r="R3" s="44"/>
      <c r="T3" s="43" t="s">
        <v>32</v>
      </c>
      <c r="U3" s="45" t="s">
        <v>108</v>
      </c>
      <c r="V3" s="44"/>
      <c r="W3" s="44"/>
      <c r="X3" s="44"/>
      <c r="Y3" s="44"/>
      <c r="Z3" s="44"/>
      <c r="AB3" s="43" t="s">
        <v>32</v>
      </c>
      <c r="AC3" s="45" t="s">
        <v>108</v>
      </c>
      <c r="AD3" s="44"/>
      <c r="AE3" s="44"/>
      <c r="AF3" s="44"/>
      <c r="AG3" s="44"/>
      <c r="AH3" s="44"/>
    </row>
    <row r="4" spans="1:35" ht="17.25" customHeight="1">
      <c r="A4" s="43"/>
      <c r="B4" s="45"/>
      <c r="C4" s="44"/>
      <c r="D4" s="44"/>
      <c r="E4" s="44"/>
      <c r="F4" s="44"/>
      <c r="G4" s="44"/>
      <c r="H4" s="44"/>
      <c r="I4" s="44"/>
      <c r="J4" s="44"/>
      <c r="L4" s="43"/>
      <c r="M4" s="45"/>
      <c r="N4" s="44"/>
      <c r="O4" s="44"/>
      <c r="P4" s="44"/>
      <c r="Q4" s="44"/>
      <c r="R4" s="44"/>
      <c r="T4" s="43"/>
      <c r="U4" s="45"/>
      <c r="V4" s="44"/>
      <c r="W4" s="44"/>
      <c r="X4" s="44"/>
      <c r="Y4" s="44"/>
      <c r="Z4" s="44"/>
      <c r="AB4" s="43"/>
      <c r="AC4" s="45"/>
      <c r="AD4" s="44"/>
      <c r="AE4" s="44"/>
      <c r="AF4" s="44"/>
      <c r="AG4" s="44"/>
      <c r="AH4" s="44"/>
    </row>
    <row r="5" spans="1:35" ht="17.25" customHeight="1">
      <c r="A5" s="43" t="s">
        <v>36</v>
      </c>
      <c r="B5" s="46" t="s">
        <v>37</v>
      </c>
      <c r="C5" s="44" t="s">
        <v>38</v>
      </c>
      <c r="D5" s="44"/>
      <c r="E5" s="44"/>
      <c r="F5" s="44"/>
      <c r="G5" s="44"/>
      <c r="H5" s="44"/>
      <c r="I5" s="44"/>
      <c r="J5" s="44"/>
      <c r="L5" s="43" t="s">
        <v>36</v>
      </c>
      <c r="M5" s="46" t="s">
        <v>37</v>
      </c>
      <c r="N5" s="44" t="s">
        <v>38</v>
      </c>
      <c r="O5" s="44"/>
      <c r="P5" s="44"/>
      <c r="Q5" s="44"/>
      <c r="R5" s="44"/>
      <c r="T5" s="43" t="s">
        <v>36</v>
      </c>
      <c r="U5" s="46" t="s">
        <v>37</v>
      </c>
      <c r="V5" s="44" t="s">
        <v>38</v>
      </c>
      <c r="W5" s="44"/>
      <c r="X5" s="44"/>
      <c r="Y5" s="44"/>
      <c r="Z5" s="44"/>
      <c r="AB5" s="43" t="s">
        <v>36</v>
      </c>
      <c r="AC5" s="46" t="s">
        <v>37</v>
      </c>
      <c r="AD5" s="44" t="s">
        <v>38</v>
      </c>
      <c r="AE5" s="44"/>
      <c r="AF5" s="44"/>
      <c r="AG5" s="44"/>
      <c r="AH5" s="44"/>
    </row>
    <row r="6" spans="1:35" s="49" customFormat="1" ht="17.25" customHeight="1">
      <c r="A6" s="47" t="s">
        <v>144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126" t="s">
        <v>175</v>
      </c>
      <c r="M6" s="126"/>
      <c r="N6" s="126"/>
      <c r="O6" s="126"/>
      <c r="P6" s="126"/>
      <c r="Q6" s="126"/>
      <c r="R6" s="126"/>
      <c r="S6" s="48"/>
      <c r="T6" s="134" t="s">
        <v>179</v>
      </c>
      <c r="U6" s="134"/>
      <c r="V6" s="134"/>
      <c r="W6" s="134"/>
      <c r="X6" s="134"/>
      <c r="Y6" s="134"/>
      <c r="Z6" s="134"/>
      <c r="AA6" s="48"/>
      <c r="AB6" s="150" t="s">
        <v>183</v>
      </c>
      <c r="AC6" s="150"/>
      <c r="AD6" s="150"/>
      <c r="AE6" s="150"/>
      <c r="AF6" s="150"/>
      <c r="AG6" s="150"/>
      <c r="AH6" s="150"/>
      <c r="AI6" s="48"/>
    </row>
    <row r="7" spans="1:35" ht="17.25" customHeight="1">
      <c r="A7" s="49" t="s">
        <v>34</v>
      </c>
      <c r="L7" s="49" t="s">
        <v>34</v>
      </c>
      <c r="T7" s="49" t="s">
        <v>34</v>
      </c>
      <c r="AB7" s="49" t="s">
        <v>34</v>
      </c>
    </row>
    <row r="8" spans="1:35" ht="17.25" customHeight="1">
      <c r="A8" s="187" t="s">
        <v>29</v>
      </c>
      <c r="B8" s="182" t="str">
        <f>B3</f>
        <v>Tacrolimus</v>
      </c>
      <c r="C8" s="183"/>
      <c r="D8" s="115"/>
      <c r="L8" s="187" t="s">
        <v>29</v>
      </c>
      <c r="M8" s="182" t="str">
        <f>M3</f>
        <v>Tacrolimus</v>
      </c>
      <c r="N8" s="183"/>
      <c r="O8" s="115"/>
      <c r="T8" s="187" t="s">
        <v>29</v>
      </c>
      <c r="U8" s="182" t="str">
        <f>U3</f>
        <v>Tacrolimus</v>
      </c>
      <c r="V8" s="183"/>
      <c r="W8" s="115"/>
      <c r="AB8" s="187" t="s">
        <v>29</v>
      </c>
      <c r="AC8" s="182" t="str">
        <f>AC3</f>
        <v>Tacrolimus</v>
      </c>
      <c r="AD8" s="183"/>
      <c r="AE8" s="115"/>
    </row>
    <row r="9" spans="1:35" ht="17.25" customHeight="1">
      <c r="A9" s="188"/>
      <c r="B9" s="38" t="s">
        <v>8</v>
      </c>
      <c r="C9" s="110" t="s">
        <v>8</v>
      </c>
      <c r="D9" s="115"/>
      <c r="L9" s="188"/>
      <c r="M9" s="38" t="s">
        <v>8</v>
      </c>
      <c r="N9" s="110" t="s">
        <v>8</v>
      </c>
      <c r="O9" s="115"/>
      <c r="T9" s="188"/>
      <c r="U9" s="38" t="s">
        <v>8</v>
      </c>
      <c r="V9" s="110" t="s">
        <v>8</v>
      </c>
      <c r="W9" s="115"/>
      <c r="AB9" s="188"/>
      <c r="AC9" s="38" t="s">
        <v>8</v>
      </c>
      <c r="AD9" s="110" t="s">
        <v>8</v>
      </c>
      <c r="AE9" s="115"/>
    </row>
    <row r="10" spans="1:35" ht="17.25" customHeight="1">
      <c r="A10" s="189"/>
      <c r="B10" s="38">
        <v>1</v>
      </c>
      <c r="C10" s="110">
        <v>2</v>
      </c>
      <c r="D10" s="115"/>
      <c r="L10" s="189"/>
      <c r="M10" s="38">
        <v>1</v>
      </c>
      <c r="N10" s="110">
        <v>2</v>
      </c>
      <c r="O10" s="115"/>
      <c r="T10" s="189"/>
      <c r="U10" s="38">
        <v>1</v>
      </c>
      <c r="V10" s="110">
        <v>2</v>
      </c>
      <c r="W10" s="115"/>
      <c r="AB10" s="189"/>
      <c r="AC10" s="38">
        <v>1</v>
      </c>
      <c r="AD10" s="110">
        <v>2</v>
      </c>
      <c r="AE10" s="115"/>
    </row>
    <row r="11" spans="1:35" ht="17.25" customHeight="1">
      <c r="A11" s="50" t="s">
        <v>10</v>
      </c>
      <c r="B11" s="51">
        <v>0</v>
      </c>
      <c r="C11" s="113"/>
      <c r="D11" s="115"/>
      <c r="L11" s="50" t="s">
        <v>10</v>
      </c>
      <c r="M11" s="51">
        <v>0</v>
      </c>
      <c r="N11" s="113"/>
      <c r="O11" s="115"/>
      <c r="T11" s="50" t="s">
        <v>10</v>
      </c>
      <c r="U11" s="51">
        <v>0</v>
      </c>
      <c r="V11" s="113"/>
      <c r="W11" s="115"/>
      <c r="AB11" s="50" t="s">
        <v>10</v>
      </c>
      <c r="AC11" s="51">
        <v>0</v>
      </c>
      <c r="AD11" s="113"/>
      <c r="AE11" s="115"/>
    </row>
    <row r="12" spans="1:35" ht="17.25" customHeight="1">
      <c r="A12" s="38" t="s">
        <v>11</v>
      </c>
      <c r="B12" s="51">
        <v>0</v>
      </c>
      <c r="C12" s="113"/>
      <c r="D12" s="115"/>
      <c r="I12" s="36"/>
      <c r="J12" s="37"/>
      <c r="L12" s="38" t="s">
        <v>11</v>
      </c>
      <c r="M12" s="51">
        <v>0</v>
      </c>
      <c r="N12" s="113"/>
      <c r="O12" s="115"/>
      <c r="T12" s="38" t="s">
        <v>11</v>
      </c>
      <c r="U12" s="51">
        <v>0</v>
      </c>
      <c r="V12" s="113"/>
      <c r="W12" s="115"/>
      <c r="AB12" s="38" t="s">
        <v>11</v>
      </c>
      <c r="AC12" s="51">
        <v>0</v>
      </c>
      <c r="AD12" s="113"/>
      <c r="AE12" s="115"/>
    </row>
    <row r="13" spans="1:35" ht="17.25" customHeight="1">
      <c r="A13" s="38">
        <v>0.1</v>
      </c>
      <c r="B13" s="51">
        <v>1.32E-2</v>
      </c>
      <c r="C13" s="113"/>
      <c r="D13" s="115"/>
      <c r="I13" s="36"/>
      <c r="J13" s="37"/>
      <c r="L13" s="38">
        <v>0.1</v>
      </c>
      <c r="M13" s="51">
        <v>2.0400000000000001E-2</v>
      </c>
      <c r="N13" s="113"/>
      <c r="O13" s="115"/>
      <c r="T13" s="38">
        <v>0.1</v>
      </c>
      <c r="U13" s="51">
        <v>2.2599999999999999E-2</v>
      </c>
      <c r="V13" s="113"/>
      <c r="W13" s="115"/>
      <c r="AB13" s="38">
        <v>0.1</v>
      </c>
      <c r="AC13" s="51">
        <v>3.1099999999999999E-2</v>
      </c>
      <c r="AD13" s="113"/>
      <c r="AE13" s="115"/>
    </row>
    <row r="14" spans="1:35" ht="17.25" customHeight="1">
      <c r="A14" s="38">
        <v>0.2</v>
      </c>
      <c r="B14" s="51">
        <v>2.81E-2</v>
      </c>
      <c r="C14" s="113"/>
      <c r="D14" s="115"/>
      <c r="I14" s="36"/>
      <c r="J14" s="37"/>
      <c r="L14" s="38">
        <v>0.2</v>
      </c>
      <c r="M14" s="51">
        <v>3.8100000000000002E-2</v>
      </c>
      <c r="N14" s="113"/>
      <c r="O14" s="115"/>
      <c r="T14" s="38">
        <v>0.2</v>
      </c>
      <c r="U14" s="51">
        <v>4.2700000000000002E-2</v>
      </c>
      <c r="V14" s="113"/>
      <c r="W14" s="115"/>
      <c r="AB14" s="38">
        <v>0.2</v>
      </c>
      <c r="AC14" s="51">
        <v>6.0600000000000001E-2</v>
      </c>
      <c r="AD14" s="113"/>
      <c r="AE14" s="115"/>
    </row>
    <row r="15" spans="1:35" ht="17.25" customHeight="1">
      <c r="A15" s="38">
        <v>0.5</v>
      </c>
      <c r="B15" s="51">
        <v>6.7000000000000004E-2</v>
      </c>
      <c r="C15" s="113"/>
      <c r="D15" s="115"/>
      <c r="I15" s="36"/>
      <c r="J15" s="37"/>
      <c r="L15" s="38">
        <v>0.5</v>
      </c>
      <c r="M15" s="51">
        <v>9.3600000000000003E-2</v>
      </c>
      <c r="N15" s="113"/>
      <c r="O15" s="115"/>
      <c r="T15" s="38">
        <v>0.5</v>
      </c>
      <c r="U15" s="51">
        <v>0.106</v>
      </c>
      <c r="V15" s="113"/>
      <c r="W15" s="115"/>
      <c r="AB15" s="38">
        <v>0.5</v>
      </c>
      <c r="AC15" s="51">
        <v>0.13500000000000001</v>
      </c>
      <c r="AD15" s="113"/>
      <c r="AE15" s="115"/>
    </row>
    <row r="16" spans="1:35" ht="17.25" customHeight="1">
      <c r="A16" s="38">
        <v>1</v>
      </c>
      <c r="B16" s="51">
        <v>0.156</v>
      </c>
      <c r="C16" s="113"/>
      <c r="D16" s="115"/>
      <c r="I16" s="36"/>
      <c r="J16" s="37"/>
      <c r="L16" s="38">
        <v>1</v>
      </c>
      <c r="M16" s="51">
        <v>0.16300000000000001</v>
      </c>
      <c r="N16" s="113"/>
      <c r="O16" s="115"/>
      <c r="T16" s="38">
        <v>1</v>
      </c>
      <c r="U16" s="51">
        <v>0.217</v>
      </c>
      <c r="V16" s="113"/>
      <c r="W16" s="115"/>
      <c r="AB16" s="38">
        <v>1</v>
      </c>
      <c r="AC16" s="51">
        <v>0.246</v>
      </c>
      <c r="AD16" s="113"/>
      <c r="AE16" s="115"/>
    </row>
    <row r="17" spans="1:35" ht="17.25" customHeight="1">
      <c r="A17" s="38">
        <v>2</v>
      </c>
      <c r="B17" s="51">
        <v>0.309</v>
      </c>
      <c r="C17" s="113"/>
      <c r="D17" s="115"/>
      <c r="I17" s="36"/>
      <c r="J17" s="37"/>
      <c r="L17" s="38">
        <v>2</v>
      </c>
      <c r="M17" s="51">
        <v>0.35099999999999998</v>
      </c>
      <c r="N17" s="113"/>
      <c r="O17" s="115"/>
      <c r="T17" s="38">
        <v>2</v>
      </c>
      <c r="U17" s="51">
        <v>0.375</v>
      </c>
      <c r="V17" s="113"/>
      <c r="W17" s="115"/>
      <c r="AB17" s="38">
        <v>2</v>
      </c>
      <c r="AC17" s="51">
        <v>0.45900000000000002</v>
      </c>
      <c r="AD17" s="113"/>
      <c r="AE17" s="115"/>
    </row>
    <row r="18" spans="1:35" ht="17.25" customHeight="1">
      <c r="A18" s="38">
        <v>5</v>
      </c>
      <c r="B18" s="51">
        <v>0.78300000000000003</v>
      </c>
      <c r="C18" s="113"/>
      <c r="D18" s="115"/>
      <c r="I18" s="36"/>
      <c r="J18" s="37"/>
      <c r="L18" s="38">
        <v>5</v>
      </c>
      <c r="M18" s="51">
        <v>0.90100000000000002</v>
      </c>
      <c r="N18" s="113"/>
      <c r="O18" s="115"/>
      <c r="T18" s="38">
        <v>5</v>
      </c>
      <c r="U18" s="51">
        <v>0.93899999999999995</v>
      </c>
      <c r="V18" s="113"/>
      <c r="W18" s="115"/>
      <c r="AB18" s="38">
        <v>5</v>
      </c>
      <c r="AC18" s="51">
        <v>1.24</v>
      </c>
      <c r="AD18" s="113"/>
      <c r="AE18" s="115"/>
    </row>
    <row r="19" spans="1:35" ht="17.25" customHeight="1">
      <c r="A19" s="38">
        <v>10</v>
      </c>
      <c r="B19" s="51">
        <v>1.66</v>
      </c>
      <c r="C19" s="113"/>
      <c r="D19" s="115"/>
      <c r="I19" s="36"/>
      <c r="J19" s="37"/>
      <c r="L19" s="38">
        <v>10</v>
      </c>
      <c r="M19" s="51">
        <v>1.76</v>
      </c>
      <c r="N19" s="113"/>
      <c r="O19" s="115"/>
      <c r="T19" s="38">
        <v>10</v>
      </c>
      <c r="U19" s="51">
        <v>2.0099999999999998</v>
      </c>
      <c r="V19" s="113"/>
      <c r="W19" s="115"/>
      <c r="AB19" s="38">
        <v>10</v>
      </c>
      <c r="AC19" s="51">
        <v>2.52</v>
      </c>
      <c r="AD19" s="113"/>
      <c r="AE19" s="115"/>
    </row>
    <row r="20" spans="1:35" ht="17.25" customHeight="1">
      <c r="A20" s="38">
        <v>20</v>
      </c>
      <c r="B20" s="51">
        <v>3.42</v>
      </c>
      <c r="C20" s="113"/>
      <c r="D20" s="115"/>
      <c r="I20" s="36"/>
      <c r="J20" s="37"/>
      <c r="L20" s="38">
        <v>20</v>
      </c>
      <c r="M20" s="51">
        <v>3.65</v>
      </c>
      <c r="N20" s="113"/>
      <c r="O20" s="115"/>
      <c r="T20" s="38">
        <v>20</v>
      </c>
      <c r="U20" s="51">
        <v>4.4400000000000004</v>
      </c>
      <c r="V20" s="113"/>
      <c r="W20" s="115"/>
      <c r="AB20" s="38">
        <v>20</v>
      </c>
      <c r="AC20" s="51">
        <v>4.95</v>
      </c>
      <c r="AD20" s="113"/>
      <c r="AE20" s="115"/>
    </row>
    <row r="21" spans="1:35" ht="17.25" customHeight="1">
      <c r="A21" s="38">
        <v>50</v>
      </c>
      <c r="B21" s="51">
        <v>8.98</v>
      </c>
      <c r="C21" s="113"/>
      <c r="D21" s="115"/>
      <c r="E21" s="184" t="s">
        <v>161</v>
      </c>
      <c r="F21" s="185"/>
      <c r="I21" s="36"/>
      <c r="J21" s="37"/>
      <c r="L21" s="38">
        <v>50</v>
      </c>
      <c r="M21" s="51">
        <v>9.2799999999999994</v>
      </c>
      <c r="N21" s="113"/>
      <c r="O21" s="115"/>
      <c r="T21" s="38">
        <v>50</v>
      </c>
      <c r="U21" s="51">
        <v>11.4</v>
      </c>
      <c r="V21" s="113"/>
      <c r="W21" s="115"/>
      <c r="AB21" s="38">
        <v>50</v>
      </c>
      <c r="AC21" s="51">
        <v>11.7</v>
      </c>
      <c r="AD21" s="113"/>
      <c r="AE21" s="115"/>
    </row>
    <row r="22" spans="1:35" ht="17.25" customHeight="1">
      <c r="A22" s="38"/>
      <c r="B22" s="51"/>
      <c r="C22" s="113"/>
      <c r="D22" s="72" t="s">
        <v>101</v>
      </c>
      <c r="E22" s="38" t="s">
        <v>105</v>
      </c>
      <c r="F22" s="116" t="s">
        <v>162</v>
      </c>
      <c r="J22" s="37"/>
      <c r="L22" s="38"/>
      <c r="M22" s="51"/>
      <c r="N22" s="113"/>
      <c r="O22" s="130" t="s">
        <v>101</v>
      </c>
      <c r="T22" s="38"/>
      <c r="U22" s="51"/>
      <c r="V22" s="113"/>
      <c r="W22" s="138" t="s">
        <v>101</v>
      </c>
      <c r="AB22" s="38"/>
      <c r="AC22" s="51"/>
      <c r="AD22" s="113"/>
      <c r="AE22" s="154" t="s">
        <v>101</v>
      </c>
      <c r="AG22"/>
    </row>
    <row r="23" spans="1:35" ht="17.25" customHeight="1">
      <c r="A23" s="38" t="s">
        <v>102</v>
      </c>
      <c r="B23" s="51">
        <v>4.6100000000000002E-2</v>
      </c>
      <c r="C23" s="113">
        <v>4.8099999999999997E-2</v>
      </c>
      <c r="D23" s="105">
        <f>STDEV(B23:C23)/AVERAGE(B23:C23)*100</f>
        <v>3.0025765655479644</v>
      </c>
      <c r="E23" s="117">
        <v>7.21</v>
      </c>
      <c r="F23" s="118">
        <v>111</v>
      </c>
      <c r="H23"/>
      <c r="J23"/>
      <c r="L23" s="38" t="s">
        <v>102</v>
      </c>
      <c r="M23" s="51">
        <v>6.3500000000000001E-2</v>
      </c>
      <c r="N23" s="113">
        <v>5.8299999999999998E-2</v>
      </c>
      <c r="O23" s="105">
        <f>STDEV(M23:N23)/AVERAGE(M23:N23)*100</f>
        <v>6.0376933697373563</v>
      </c>
      <c r="T23" s="38" t="s">
        <v>102</v>
      </c>
      <c r="U23" s="51">
        <v>7.0199999999999999E-2</v>
      </c>
      <c r="V23" s="113">
        <v>7.2700000000000001E-2</v>
      </c>
      <c r="W23" s="105">
        <f>STDEV(U23:V23)/AVERAGE(U23:V23)*100</f>
        <v>2.474131494704507</v>
      </c>
      <c r="AB23" s="38" t="s">
        <v>102</v>
      </c>
      <c r="AC23" s="51">
        <v>8.09E-2</v>
      </c>
      <c r="AD23" s="113">
        <v>7.0300000000000001E-2</v>
      </c>
      <c r="AE23" s="105">
        <f>STDEV(AC23:AD23)/AVERAGE(AC23:AD23)*100</f>
        <v>9.9144601594939186</v>
      </c>
      <c r="AG23"/>
    </row>
    <row r="24" spans="1:35" ht="17.25" customHeight="1">
      <c r="A24" s="38" t="s">
        <v>103</v>
      </c>
      <c r="B24" s="51">
        <v>0.51800000000000002</v>
      </c>
      <c r="C24" s="113">
        <v>0.47899999999999998</v>
      </c>
      <c r="D24" s="105">
        <f>STDEV(B24:C24)/AVERAGE(B24:C24)*100</f>
        <v>5.5320289801956628</v>
      </c>
      <c r="E24" s="117">
        <v>7.03</v>
      </c>
      <c r="F24" s="118">
        <v>108</v>
      </c>
      <c r="H24"/>
      <c r="J24"/>
      <c r="L24" s="38" t="s">
        <v>103</v>
      </c>
      <c r="M24" s="51">
        <v>0.52600000000000002</v>
      </c>
      <c r="N24" s="113">
        <v>0.60099999999999998</v>
      </c>
      <c r="O24" s="105">
        <f>STDEV(M24:N24)/AVERAGE(M24:N24)*100</f>
        <v>9.4113591107348782</v>
      </c>
      <c r="Q24"/>
      <c r="T24" s="38" t="s">
        <v>103</v>
      </c>
      <c r="U24" s="51">
        <v>0.64200000000000002</v>
      </c>
      <c r="V24" s="113">
        <v>0.63500000000000001</v>
      </c>
      <c r="W24" s="105">
        <f>STDEV(U24:V24)/AVERAGE(U24:V24)*100</f>
        <v>0.77521495196645829</v>
      </c>
      <c r="Y24"/>
      <c r="AB24" s="38" t="s">
        <v>103</v>
      </c>
      <c r="AC24" s="51">
        <v>0.73499999999999999</v>
      </c>
      <c r="AD24" s="113">
        <v>0.68799999999999994</v>
      </c>
      <c r="AE24" s="105">
        <f>STDEV(AC24:AD24)/AVERAGE(AC24:AD24)*100</f>
        <v>4.6709794400235785</v>
      </c>
      <c r="AG24"/>
    </row>
    <row r="25" spans="1:35" ht="17.25" customHeight="1">
      <c r="A25" s="38" t="s">
        <v>105</v>
      </c>
      <c r="B25" s="51">
        <v>7.4</v>
      </c>
      <c r="C25" s="113">
        <v>7.13</v>
      </c>
      <c r="D25" s="105">
        <f>STDEV(B25:C25)/AVERAGE(B25:C25)*100</f>
        <v>2.6279260966327342</v>
      </c>
      <c r="E25" s="117">
        <v>6.75</v>
      </c>
      <c r="F25" s="118">
        <v>104</v>
      </c>
      <c r="H25"/>
      <c r="J25"/>
      <c r="L25" s="38" t="s">
        <v>105</v>
      </c>
      <c r="M25" s="51">
        <v>7.73</v>
      </c>
      <c r="N25" s="113">
        <v>7.86</v>
      </c>
      <c r="O25" s="105">
        <f>STDEV(M25:N25)/AVERAGE(M25:N25)*100</f>
        <v>1.1792672425176538</v>
      </c>
      <c r="Q25"/>
      <c r="T25" s="38" t="s">
        <v>105</v>
      </c>
      <c r="U25" s="51">
        <v>9.41</v>
      </c>
      <c r="V25" s="113">
        <v>8.5500000000000007</v>
      </c>
      <c r="W25" s="105">
        <f>STDEV(U25:V25)/AVERAGE(U25:V25)*100</f>
        <v>6.771846679514816</v>
      </c>
      <c r="Y25"/>
      <c r="AB25" s="38" t="s">
        <v>105</v>
      </c>
      <c r="AC25" s="51">
        <v>10.1</v>
      </c>
      <c r="AD25" s="113">
        <v>9.86</v>
      </c>
      <c r="AE25" s="105">
        <f>STDEV(AC25:AD25)/AVERAGE(AC25:AD25)*100</f>
        <v>1.7004571892261677</v>
      </c>
      <c r="AG25"/>
    </row>
    <row r="26" spans="1:35" ht="17.25" customHeight="1">
      <c r="A26" s="52"/>
      <c r="B26" s="53"/>
      <c r="C26" s="53"/>
      <c r="E26" s="114"/>
      <c r="F26" s="49"/>
      <c r="G26" s="49"/>
      <c r="H26" s="49"/>
      <c r="I26" s="49"/>
      <c r="J26"/>
      <c r="L26" s="52"/>
      <c r="M26" s="53"/>
      <c r="N26" s="53"/>
      <c r="Q26"/>
      <c r="R26" s="49"/>
      <c r="T26" s="52"/>
      <c r="U26" s="53"/>
      <c r="V26" s="53"/>
      <c r="Y26"/>
      <c r="Z26" s="49"/>
      <c r="AB26" s="52"/>
      <c r="AC26" s="53"/>
      <c r="AD26" s="53"/>
      <c r="AG26"/>
      <c r="AH26" s="49"/>
    </row>
    <row r="27" spans="1:35" ht="17.25" customHeight="1">
      <c r="A27" s="49" t="s">
        <v>2</v>
      </c>
      <c r="B27" s="37"/>
      <c r="C27" s="37"/>
      <c r="D27" s="37"/>
      <c r="E27" s="37"/>
      <c r="F27" s="37"/>
      <c r="G27" s="37"/>
      <c r="H27" s="37"/>
      <c r="I27" s="37"/>
      <c r="L27" s="49" t="s">
        <v>2</v>
      </c>
      <c r="M27" s="37"/>
      <c r="N27" s="37"/>
      <c r="O27" s="37"/>
      <c r="P27" s="37"/>
      <c r="Q27"/>
      <c r="R27" s="37"/>
      <c r="T27" s="49" t="s">
        <v>2</v>
      </c>
      <c r="U27" s="37"/>
      <c r="V27" s="37"/>
      <c r="W27" s="37"/>
      <c r="X27" s="37"/>
      <c r="Y27"/>
      <c r="Z27" s="37"/>
      <c r="AB27" s="49" t="s">
        <v>2</v>
      </c>
      <c r="AC27" s="37"/>
      <c r="AD27" s="37"/>
      <c r="AE27" s="37"/>
      <c r="AF27" s="37"/>
      <c r="AG27"/>
      <c r="AH27" s="37"/>
    </row>
    <row r="28" spans="1:35" ht="17.25" customHeight="1">
      <c r="A28" s="54" t="s">
        <v>31</v>
      </c>
      <c r="B28" s="54" t="s">
        <v>89</v>
      </c>
      <c r="C28" s="54" t="s">
        <v>1</v>
      </c>
      <c r="D28" s="54" t="s">
        <v>90</v>
      </c>
      <c r="E28" s="50" t="s">
        <v>81</v>
      </c>
      <c r="F28" s="50" t="s">
        <v>82</v>
      </c>
      <c r="G28" s="96" t="s">
        <v>71</v>
      </c>
      <c r="H28" s="99"/>
      <c r="I28" s="41"/>
      <c r="J28" s="41"/>
      <c r="K28" s="55"/>
      <c r="L28" s="54" t="s">
        <v>31</v>
      </c>
      <c r="M28" s="54" t="s">
        <v>89</v>
      </c>
      <c r="N28" s="54" t="s">
        <v>1</v>
      </c>
      <c r="O28" s="54" t="s">
        <v>90</v>
      </c>
      <c r="P28" s="50" t="s">
        <v>81</v>
      </c>
      <c r="Q28" s="50" t="s">
        <v>82</v>
      </c>
      <c r="R28" s="50" t="s">
        <v>71</v>
      </c>
      <c r="S28" s="55"/>
      <c r="T28" s="54" t="s">
        <v>31</v>
      </c>
      <c r="U28" s="54" t="s">
        <v>89</v>
      </c>
      <c r="V28" s="54" t="s">
        <v>1</v>
      </c>
      <c r="W28" s="54" t="s">
        <v>90</v>
      </c>
      <c r="X28" s="50" t="s">
        <v>81</v>
      </c>
      <c r="Y28" s="50" t="s">
        <v>82</v>
      </c>
      <c r="Z28" s="50" t="s">
        <v>71</v>
      </c>
      <c r="AA28" s="55"/>
      <c r="AB28" s="54" t="s">
        <v>31</v>
      </c>
      <c r="AC28" s="54" t="s">
        <v>89</v>
      </c>
      <c r="AD28" s="54" t="s">
        <v>1</v>
      </c>
      <c r="AE28" s="54" t="s">
        <v>90</v>
      </c>
      <c r="AF28" s="50" t="s">
        <v>81</v>
      </c>
      <c r="AG28" s="50" t="s">
        <v>82</v>
      </c>
      <c r="AH28" s="50" t="s">
        <v>71</v>
      </c>
      <c r="AI28" s="55"/>
    </row>
    <row r="29" spans="1:35" ht="17.25" customHeight="1">
      <c r="A29" s="93" t="str">
        <f>B3</f>
        <v>Tacrolimus</v>
      </c>
      <c r="B29" s="50" t="s">
        <v>121</v>
      </c>
      <c r="C29" s="50" t="s">
        <v>80</v>
      </c>
      <c r="D29" s="50" t="s">
        <v>122</v>
      </c>
      <c r="E29" s="94">
        <v>0.16200000000000001</v>
      </c>
      <c r="F29" s="94">
        <v>-3.6700000000000001E-3</v>
      </c>
      <c r="G29" s="97">
        <v>0.99709999999999999</v>
      </c>
      <c r="H29" s="100"/>
      <c r="I29" s="98"/>
      <c r="J29" s="98"/>
      <c r="K29" s="55"/>
      <c r="L29" s="93" t="str">
        <f>M3</f>
        <v>Tacrolimus</v>
      </c>
      <c r="M29" s="50" t="s">
        <v>121</v>
      </c>
      <c r="N29" s="50" t="s">
        <v>80</v>
      </c>
      <c r="O29" s="50" t="s">
        <v>122</v>
      </c>
      <c r="P29" s="94">
        <v>0.17699999999999999</v>
      </c>
      <c r="Q29" s="94">
        <v>2.6099999999999999E-3</v>
      </c>
      <c r="R29" s="94">
        <v>0.999</v>
      </c>
      <c r="S29" s="55"/>
      <c r="T29" s="93" t="str">
        <f>U3</f>
        <v>Tacrolimus</v>
      </c>
      <c r="U29" s="50" t="s">
        <v>121</v>
      </c>
      <c r="V29" s="50" t="s">
        <v>80</v>
      </c>
      <c r="W29" s="50" t="s">
        <v>122</v>
      </c>
      <c r="X29" s="94">
        <v>0.20699999999999999</v>
      </c>
      <c r="Y29" s="94">
        <v>1.7700000000000001E-3</v>
      </c>
      <c r="Z29" s="94">
        <v>0.99709999999999999</v>
      </c>
      <c r="AA29" s="55"/>
      <c r="AB29" s="93" t="str">
        <f>AC3</f>
        <v>Tacrolimus</v>
      </c>
      <c r="AC29" s="50" t="s">
        <v>121</v>
      </c>
      <c r="AD29" s="50" t="s">
        <v>80</v>
      </c>
      <c r="AE29" s="50" t="s">
        <v>122</v>
      </c>
      <c r="AF29" s="94">
        <v>0.24399999999999999</v>
      </c>
      <c r="AG29" s="94">
        <v>7.8499999999999993E-3</v>
      </c>
      <c r="AH29" s="94">
        <v>0.99839999999999995</v>
      </c>
      <c r="AI29" s="55"/>
    </row>
    <row r="30" spans="1:35" ht="17.25" customHeight="1">
      <c r="E30" s="37"/>
      <c r="F30" s="37"/>
      <c r="G30" s="37"/>
      <c r="H30" s="37"/>
      <c r="I30" s="37"/>
      <c r="K30" s="55"/>
      <c r="P30" s="37"/>
      <c r="Q30" s="37"/>
      <c r="R30" s="37"/>
      <c r="S30" s="55"/>
      <c r="X30" s="37"/>
      <c r="Y30" s="37"/>
      <c r="Z30" s="37"/>
      <c r="AA30" s="55"/>
      <c r="AF30" s="37"/>
      <c r="AG30" s="37"/>
      <c r="AH30" s="37"/>
      <c r="AI30" s="55"/>
    </row>
    <row r="31" spans="1:35" ht="17.25" customHeight="1">
      <c r="A31" s="56" t="s">
        <v>35</v>
      </c>
      <c r="B31" s="57"/>
      <c r="C31" s="57"/>
      <c r="D31" s="57"/>
      <c r="E31" s="58"/>
      <c r="F31" s="58"/>
      <c r="G31" s="58"/>
      <c r="H31" s="58"/>
      <c r="I31" s="58"/>
      <c r="J31" s="58"/>
      <c r="K31" s="55"/>
      <c r="L31" s="127" t="s">
        <v>35</v>
      </c>
      <c r="M31" s="128"/>
      <c r="N31" s="128"/>
      <c r="O31" s="128"/>
      <c r="P31" s="129"/>
      <c r="Q31" s="129"/>
      <c r="R31" s="129"/>
      <c r="S31" s="55"/>
      <c r="T31" s="135" t="s">
        <v>35</v>
      </c>
      <c r="U31" s="136"/>
      <c r="V31" s="136"/>
      <c r="W31" s="136"/>
      <c r="X31" s="137"/>
      <c r="Y31" s="137"/>
      <c r="Z31" s="137"/>
      <c r="AA31" s="55"/>
      <c r="AB31" s="151" t="s">
        <v>35</v>
      </c>
      <c r="AC31" s="152"/>
      <c r="AD31" s="152"/>
      <c r="AE31" s="152"/>
      <c r="AF31" s="153"/>
      <c r="AG31" s="153"/>
      <c r="AH31" s="153"/>
      <c r="AI31" s="55"/>
    </row>
    <row r="32" spans="1:35" ht="17.25" customHeight="1">
      <c r="A32" s="79" t="s">
        <v>85</v>
      </c>
      <c r="B32" s="101" t="s">
        <v>152</v>
      </c>
      <c r="D32" s="49"/>
      <c r="E32" s="49"/>
      <c r="F32" s="49"/>
      <c r="G32" s="49"/>
      <c r="H32" s="49"/>
      <c r="I32" s="49"/>
      <c r="J32" s="49"/>
    </row>
    <row r="33" spans="1:31" ht="17.25" customHeight="1">
      <c r="A33" s="44"/>
      <c r="B33" s="178" t="s">
        <v>0</v>
      </c>
      <c r="C33" s="179" t="s">
        <v>104</v>
      </c>
      <c r="D33" s="180"/>
      <c r="E33" s="180"/>
      <c r="F33" s="180"/>
      <c r="G33" s="180"/>
      <c r="H33" s="180"/>
      <c r="I33" s="180"/>
      <c r="J33" s="181"/>
    </row>
    <row r="34" spans="1:31" ht="17.25" customHeight="1">
      <c r="A34" s="44"/>
      <c r="B34" s="178"/>
      <c r="C34" s="59" t="s">
        <v>9</v>
      </c>
      <c r="D34" s="59" t="s">
        <v>70</v>
      </c>
      <c r="E34" s="59" t="s">
        <v>83</v>
      </c>
      <c r="F34" s="59" t="s">
        <v>129</v>
      </c>
      <c r="G34" s="59" t="s">
        <v>100</v>
      </c>
      <c r="H34" s="59" t="s">
        <v>155</v>
      </c>
      <c r="I34" s="59" t="s">
        <v>74</v>
      </c>
      <c r="J34" s="59" t="s">
        <v>75</v>
      </c>
    </row>
    <row r="35" spans="1:31" ht="17.25" customHeight="1">
      <c r="A35" s="44"/>
      <c r="B35" s="119">
        <v>0.5</v>
      </c>
      <c r="C35" s="120">
        <v>20.6</v>
      </c>
      <c r="D35" s="120">
        <v>13.6</v>
      </c>
      <c r="E35" s="120">
        <v>13.8</v>
      </c>
      <c r="F35" s="120"/>
      <c r="G35" s="120"/>
      <c r="H35" s="120"/>
      <c r="I35" s="121">
        <f t="shared" ref="I35:I41" si="0">AVERAGE(C35:H35)</f>
        <v>16</v>
      </c>
      <c r="J35" s="121">
        <f>STDEV(C35:H35)</f>
        <v>3.9849717690342614</v>
      </c>
    </row>
    <row r="36" spans="1:31" ht="17.25" customHeight="1">
      <c r="A36" s="44"/>
      <c r="B36" s="59">
        <v>1</v>
      </c>
      <c r="C36" s="39"/>
      <c r="D36" s="39"/>
      <c r="E36" s="39"/>
      <c r="F36" s="39">
        <v>27.4</v>
      </c>
      <c r="G36" s="39">
        <v>22.1</v>
      </c>
      <c r="H36" s="39">
        <v>20.6</v>
      </c>
      <c r="I36" s="40">
        <f t="shared" si="0"/>
        <v>23.366666666666664</v>
      </c>
      <c r="J36" s="40">
        <f t="shared" ref="J36:J41" si="1">STDEV(C36:H36)</f>
        <v>3.5725807665234872</v>
      </c>
      <c r="W36"/>
      <c r="AE36"/>
    </row>
    <row r="37" spans="1:31" ht="17.25" customHeight="1">
      <c r="A37" s="44"/>
      <c r="B37" s="119">
        <v>3</v>
      </c>
      <c r="C37" s="120">
        <v>17.7</v>
      </c>
      <c r="D37" s="120">
        <v>10</v>
      </c>
      <c r="E37" s="120">
        <v>10.9</v>
      </c>
      <c r="F37" s="120"/>
      <c r="G37" s="120"/>
      <c r="H37" s="120"/>
      <c r="I37" s="121">
        <f t="shared" si="0"/>
        <v>12.866666666666667</v>
      </c>
      <c r="J37" s="121">
        <f t="shared" si="1"/>
        <v>4.2099089459670349</v>
      </c>
      <c r="W37"/>
      <c r="AE37"/>
    </row>
    <row r="38" spans="1:31" ht="17.25" customHeight="1">
      <c r="A38" s="44"/>
      <c r="B38" s="59">
        <v>6</v>
      </c>
      <c r="C38" s="39"/>
      <c r="D38" s="39"/>
      <c r="E38" s="39"/>
      <c r="F38" s="39">
        <v>9.09</v>
      </c>
      <c r="G38" s="39">
        <v>13.6</v>
      </c>
      <c r="H38" s="39">
        <v>8.0500000000000007</v>
      </c>
      <c r="I38" s="40">
        <f t="shared" si="0"/>
        <v>10.246666666666666</v>
      </c>
      <c r="J38" s="40">
        <f t="shared" si="1"/>
        <v>2.9502598755589942</v>
      </c>
      <c r="W38"/>
      <c r="AE38"/>
    </row>
    <row r="39" spans="1:31" ht="17.25" customHeight="1">
      <c r="A39" s="44"/>
      <c r="B39" s="119">
        <v>24</v>
      </c>
      <c r="C39" s="120">
        <v>6.29</v>
      </c>
      <c r="D39" s="120">
        <v>4.24</v>
      </c>
      <c r="E39" s="120">
        <v>6.47</v>
      </c>
      <c r="F39" s="120"/>
      <c r="G39" s="120"/>
      <c r="H39" s="120"/>
      <c r="I39" s="121">
        <f t="shared" si="0"/>
        <v>5.666666666666667</v>
      </c>
      <c r="J39" s="121">
        <f t="shared" si="1"/>
        <v>1.2388031858747131</v>
      </c>
    </row>
    <row r="40" spans="1:31" ht="17.25" customHeight="1">
      <c r="A40" s="44"/>
      <c r="B40" s="59">
        <v>72</v>
      </c>
      <c r="C40" s="39"/>
      <c r="D40" s="39"/>
      <c r="E40" s="39"/>
      <c r="F40" s="39">
        <v>3.04</v>
      </c>
      <c r="G40" s="39">
        <v>2.2599999999999998</v>
      </c>
      <c r="H40" s="39">
        <v>2.4300000000000002</v>
      </c>
      <c r="I40" s="40">
        <f t="shared" si="0"/>
        <v>2.5766666666666667</v>
      </c>
      <c r="J40" s="40">
        <f t="shared" si="1"/>
        <v>0.41016256939576196</v>
      </c>
      <c r="M40"/>
      <c r="N40"/>
      <c r="O40"/>
      <c r="U40"/>
      <c r="V40"/>
      <c r="W40"/>
      <c r="AC40"/>
      <c r="AD40"/>
      <c r="AE40"/>
    </row>
    <row r="41" spans="1:31" ht="17.25" customHeight="1">
      <c r="A41" s="44"/>
      <c r="B41" s="131">
        <v>168</v>
      </c>
      <c r="C41" s="132">
        <v>2.64</v>
      </c>
      <c r="D41" s="132">
        <v>2.37</v>
      </c>
      <c r="E41" s="132">
        <v>2.2200000000000002</v>
      </c>
      <c r="F41" s="132"/>
      <c r="G41" s="132"/>
      <c r="H41" s="132"/>
      <c r="I41" s="133">
        <f t="shared" si="0"/>
        <v>2.41</v>
      </c>
      <c r="J41" s="133">
        <f t="shared" si="1"/>
        <v>0.21283796653792758</v>
      </c>
      <c r="M41"/>
      <c r="N41"/>
      <c r="O41"/>
      <c r="U41"/>
      <c r="V41"/>
      <c r="W41"/>
      <c r="AC41"/>
      <c r="AD41"/>
      <c r="AE41"/>
    </row>
    <row r="42" spans="1:31" ht="17.25" customHeight="1">
      <c r="A42" s="44"/>
      <c r="B42" s="59">
        <v>336</v>
      </c>
      <c r="C42" s="39"/>
      <c r="D42" s="39"/>
      <c r="E42" s="39"/>
      <c r="F42" s="39">
        <v>4.33</v>
      </c>
      <c r="G42" s="39">
        <v>4.3600000000000003</v>
      </c>
      <c r="H42" s="39">
        <v>3.7</v>
      </c>
      <c r="I42" s="40">
        <f t="shared" ref="I42:I45" si="2">AVERAGE(C42:H42)</f>
        <v>4.13</v>
      </c>
      <c r="J42" s="40">
        <f t="shared" ref="J42:J45" si="3">STDEV(C42:H42)</f>
        <v>0.37269290307168451</v>
      </c>
      <c r="M42"/>
      <c r="N42"/>
      <c r="O42"/>
      <c r="U42"/>
      <c r="V42"/>
      <c r="W42"/>
      <c r="AC42"/>
      <c r="AD42"/>
      <c r="AE42"/>
    </row>
    <row r="43" spans="1:31" ht="17.25" customHeight="1">
      <c r="A43" s="44"/>
      <c r="B43" s="119">
        <v>408</v>
      </c>
      <c r="C43" s="120">
        <v>8.1999999999999993</v>
      </c>
      <c r="D43" s="120">
        <v>4.1399999999999997</v>
      </c>
      <c r="E43" s="120">
        <v>2.64</v>
      </c>
      <c r="F43" s="120"/>
      <c r="G43" s="120"/>
      <c r="H43" s="120"/>
      <c r="I43" s="121">
        <f t="shared" si="2"/>
        <v>4.9933333333333332</v>
      </c>
      <c r="J43" s="121">
        <f t="shared" si="3"/>
        <v>2.8765488581516099</v>
      </c>
    </row>
    <row r="44" spans="1:31" ht="17.25" customHeight="1">
      <c r="A44" s="44"/>
      <c r="B44" s="139">
        <v>504</v>
      </c>
      <c r="C44" s="140"/>
      <c r="D44" s="140"/>
      <c r="E44" s="140"/>
      <c r="F44" s="140">
        <v>7.41</v>
      </c>
      <c r="G44" s="140">
        <v>5.09</v>
      </c>
      <c r="H44" s="140">
        <v>5.69</v>
      </c>
      <c r="I44" s="141">
        <f t="shared" si="2"/>
        <v>6.0633333333333335</v>
      </c>
      <c r="J44" s="141">
        <f t="shared" si="3"/>
        <v>1.2042148202597962</v>
      </c>
    </row>
    <row r="45" spans="1:31" ht="17.25" customHeight="1">
      <c r="A45" s="44"/>
      <c r="B45" s="119">
        <v>576</v>
      </c>
      <c r="C45" s="120">
        <v>6.01</v>
      </c>
      <c r="D45" s="120">
        <v>6.2</v>
      </c>
      <c r="E45" s="120">
        <v>2.31</v>
      </c>
      <c r="F45" s="120"/>
      <c r="G45" s="120"/>
      <c r="H45" s="120"/>
      <c r="I45" s="121">
        <f t="shared" si="2"/>
        <v>4.8400000000000007</v>
      </c>
      <c r="J45" s="121">
        <f t="shared" si="3"/>
        <v>2.1931028247667732</v>
      </c>
    </row>
    <row r="46" spans="1:31" ht="17.25" customHeight="1">
      <c r="A46" s="44"/>
      <c r="B46" s="59">
        <v>672</v>
      </c>
      <c r="C46" s="39"/>
      <c r="D46" s="39"/>
      <c r="E46" s="39"/>
      <c r="F46" s="39">
        <v>3.1</v>
      </c>
      <c r="G46" s="39">
        <v>3.11</v>
      </c>
      <c r="H46" s="39">
        <v>1.72</v>
      </c>
      <c r="I46" s="40">
        <f t="shared" ref="I46:I48" si="4">AVERAGE(C46:H46)</f>
        <v>2.6433333333333331</v>
      </c>
      <c r="J46" s="40">
        <f t="shared" ref="J46:J48" si="5">STDEV(C46:H46)</f>
        <v>0.79964575490234091</v>
      </c>
    </row>
    <row r="47" spans="1:31" ht="17.25" customHeight="1">
      <c r="A47" s="44"/>
      <c r="B47" s="119">
        <v>768</v>
      </c>
      <c r="C47" s="120">
        <v>1.31</v>
      </c>
      <c r="D47" s="120">
        <v>0.43</v>
      </c>
      <c r="E47" s="120">
        <v>0</v>
      </c>
      <c r="F47" s="120"/>
      <c r="G47" s="120"/>
      <c r="H47" s="120"/>
      <c r="I47" s="121">
        <f t="shared" si="4"/>
        <v>0.57999999999999996</v>
      </c>
      <c r="J47" s="121">
        <f t="shared" si="5"/>
        <v>0.66775744099186196</v>
      </c>
    </row>
    <row r="48" spans="1:31" ht="17.25" customHeight="1" thickBot="1">
      <c r="A48" s="44"/>
      <c r="B48" s="139">
        <v>864</v>
      </c>
      <c r="C48" s="140"/>
      <c r="D48" s="140"/>
      <c r="E48" s="140"/>
      <c r="F48" s="140" t="s">
        <v>180</v>
      </c>
      <c r="G48" s="140">
        <v>0</v>
      </c>
      <c r="H48" s="140">
        <v>0</v>
      </c>
      <c r="I48" s="121" t="s">
        <v>190</v>
      </c>
      <c r="J48" s="141">
        <f t="shared" si="5"/>
        <v>0</v>
      </c>
    </row>
    <row r="49" spans="1:31" ht="17.25" customHeight="1">
      <c r="A49" s="44"/>
      <c r="B49" s="142">
        <f>42*24</f>
        <v>1008</v>
      </c>
      <c r="C49" s="143">
        <v>0</v>
      </c>
      <c r="D49" s="143">
        <v>0</v>
      </c>
      <c r="E49" s="143">
        <v>0</v>
      </c>
      <c r="F49" s="143"/>
      <c r="G49" s="143"/>
      <c r="H49" s="143"/>
      <c r="I49" s="121" t="s">
        <v>190</v>
      </c>
      <c r="J49" s="145">
        <f t="shared" ref="J49:J50" si="6">STDEV(C49:H49)</f>
        <v>0</v>
      </c>
    </row>
    <row r="50" spans="1:31" ht="17.25" customHeight="1" thickBot="1">
      <c r="A50" s="44"/>
      <c r="B50" s="146">
        <f>49*24</f>
        <v>1176</v>
      </c>
      <c r="C50" s="147"/>
      <c r="D50" s="147"/>
      <c r="E50" s="147"/>
      <c r="F50" s="147">
        <v>0</v>
      </c>
      <c r="G50" s="147">
        <v>0</v>
      </c>
      <c r="H50" s="147">
        <v>0</v>
      </c>
      <c r="I50" s="121" t="s">
        <v>190</v>
      </c>
      <c r="J50" s="149">
        <f t="shared" si="6"/>
        <v>0</v>
      </c>
    </row>
    <row r="51" spans="1:31" ht="17.25" customHeight="1">
      <c r="B51" s="49"/>
      <c r="C51" s="49"/>
      <c r="D51" s="49"/>
      <c r="E51" s="49"/>
      <c r="F51" s="49"/>
      <c r="G51" s="49"/>
      <c r="H51" s="49"/>
      <c r="I51" s="49"/>
      <c r="J51" s="78" t="s">
        <v>107</v>
      </c>
    </row>
    <row r="52" spans="1:31" ht="17.25" customHeight="1">
      <c r="A52" s="78"/>
      <c r="B52" s="78"/>
    </row>
    <row r="53" spans="1:31" ht="17.25" customHeight="1">
      <c r="A53" s="79" t="s">
        <v>86</v>
      </c>
      <c r="B53" s="101" t="s">
        <v>153</v>
      </c>
      <c r="D53" s="49"/>
      <c r="E53" s="49"/>
      <c r="F53" s="49"/>
      <c r="G53" s="49"/>
      <c r="H53" s="49"/>
      <c r="I53" s="49"/>
      <c r="J53" s="49"/>
    </row>
    <row r="54" spans="1:31" ht="17.25" customHeight="1">
      <c r="A54" s="44"/>
      <c r="B54" s="178" t="s">
        <v>0</v>
      </c>
      <c r="C54" s="179" t="s">
        <v>104</v>
      </c>
      <c r="D54" s="180"/>
      <c r="E54" s="180"/>
      <c r="F54" s="180"/>
      <c r="G54" s="180"/>
      <c r="H54" s="180"/>
      <c r="I54" s="180"/>
      <c r="J54" s="181"/>
    </row>
    <row r="55" spans="1:31" ht="17.25" customHeight="1">
      <c r="A55" s="44"/>
      <c r="B55" s="178"/>
      <c r="C55" s="59" t="s">
        <v>156</v>
      </c>
      <c r="D55" s="59" t="s">
        <v>130</v>
      </c>
      <c r="E55" s="59" t="s">
        <v>131</v>
      </c>
      <c r="F55" s="59" t="s">
        <v>132</v>
      </c>
      <c r="G55" s="59" t="s">
        <v>157</v>
      </c>
      <c r="H55" s="59" t="s">
        <v>134</v>
      </c>
      <c r="I55" s="59" t="s">
        <v>74</v>
      </c>
      <c r="J55" s="59" t="s">
        <v>75</v>
      </c>
    </row>
    <row r="56" spans="1:31" ht="17.25" customHeight="1">
      <c r="A56" s="44"/>
      <c r="B56" s="119">
        <v>0.5</v>
      </c>
      <c r="C56" s="120">
        <v>45.8</v>
      </c>
      <c r="D56" s="120">
        <v>56.1</v>
      </c>
      <c r="E56" s="120">
        <v>49.2</v>
      </c>
      <c r="F56" s="120"/>
      <c r="G56" s="120"/>
      <c r="H56" s="120"/>
      <c r="I56" s="121">
        <f t="shared" ref="I56:I71" si="7">AVERAGE(C56:H56)</f>
        <v>50.366666666666674</v>
      </c>
      <c r="J56" s="121">
        <f>STDEV(C56:H56)</f>
        <v>5.2481742857238789</v>
      </c>
    </row>
    <row r="57" spans="1:31" ht="17.25" customHeight="1">
      <c r="A57" s="44"/>
      <c r="B57" s="59">
        <v>1</v>
      </c>
      <c r="C57" s="39"/>
      <c r="D57" s="39"/>
      <c r="E57" s="39"/>
      <c r="F57" s="39">
        <v>48.5</v>
      </c>
      <c r="G57" s="39">
        <v>36.700000000000003</v>
      </c>
      <c r="H57" s="39">
        <v>40.299999999999997</v>
      </c>
      <c r="I57" s="40">
        <f t="shared" si="7"/>
        <v>41.833333333333336</v>
      </c>
      <c r="J57" s="40">
        <f t="shared" ref="J57:J71" si="8">STDEV(C57:H57)</f>
        <v>6.0475890512941826</v>
      </c>
    </row>
    <row r="58" spans="1:31" ht="17.25" customHeight="1">
      <c r="A58" s="44"/>
      <c r="B58" s="119">
        <v>3</v>
      </c>
      <c r="C58" s="120">
        <v>23.7</v>
      </c>
      <c r="D58" s="120">
        <v>18.5</v>
      </c>
      <c r="E58" s="120">
        <v>22.1</v>
      </c>
      <c r="F58" s="120"/>
      <c r="G58" s="120"/>
      <c r="H58" s="120"/>
      <c r="I58" s="121">
        <f t="shared" si="7"/>
        <v>21.433333333333337</v>
      </c>
      <c r="J58" s="121">
        <f t="shared" si="8"/>
        <v>2.6633312473916986</v>
      </c>
    </row>
    <row r="59" spans="1:31" ht="17.25" customHeight="1">
      <c r="A59" s="44"/>
      <c r="B59" s="59">
        <v>6</v>
      </c>
      <c r="C59" s="39"/>
      <c r="D59" s="39"/>
      <c r="E59" s="39"/>
      <c r="F59" s="39">
        <v>14.2</v>
      </c>
      <c r="G59" s="39">
        <v>11</v>
      </c>
      <c r="H59" s="39">
        <v>12.7</v>
      </c>
      <c r="I59" s="40">
        <f t="shared" si="7"/>
        <v>12.633333333333333</v>
      </c>
      <c r="J59" s="40">
        <f t="shared" si="8"/>
        <v>1.6010413278030435</v>
      </c>
    </row>
    <row r="60" spans="1:31" ht="17.25" customHeight="1">
      <c r="A60" s="44"/>
      <c r="B60" s="119">
        <v>24</v>
      </c>
      <c r="C60" s="120">
        <v>7.7</v>
      </c>
      <c r="D60" s="120">
        <v>12.5</v>
      </c>
      <c r="E60" s="120">
        <v>9.5399999999999991</v>
      </c>
      <c r="F60" s="120"/>
      <c r="G60" s="120"/>
      <c r="H60" s="120"/>
      <c r="I60" s="121">
        <f t="shared" si="7"/>
        <v>9.9133333333333322</v>
      </c>
      <c r="J60" s="121">
        <f t="shared" si="8"/>
        <v>2.4216798577296204</v>
      </c>
      <c r="M60"/>
      <c r="N60"/>
      <c r="O60"/>
      <c r="U60"/>
      <c r="V60"/>
      <c r="W60"/>
      <c r="AC60"/>
      <c r="AD60"/>
      <c r="AE60"/>
    </row>
    <row r="61" spans="1:31" ht="17.25" customHeight="1">
      <c r="A61" s="44"/>
      <c r="B61" s="59">
        <v>72</v>
      </c>
      <c r="C61" s="39"/>
      <c r="D61" s="39"/>
      <c r="E61" s="39"/>
      <c r="F61" s="39">
        <v>8.8800000000000008</v>
      </c>
      <c r="G61" s="39">
        <v>2.54</v>
      </c>
      <c r="H61" s="39">
        <v>6.57</v>
      </c>
      <c r="I61" s="40">
        <f t="shared" si="7"/>
        <v>5.996666666666667</v>
      </c>
      <c r="J61" s="40">
        <f t="shared" si="8"/>
        <v>3.2086497679449741</v>
      </c>
      <c r="M61"/>
      <c r="N61"/>
      <c r="O61"/>
      <c r="U61"/>
      <c r="V61"/>
      <c r="W61"/>
      <c r="AC61"/>
      <c r="AD61"/>
      <c r="AE61"/>
    </row>
    <row r="62" spans="1:31" ht="17.25" customHeight="1">
      <c r="A62" s="44"/>
      <c r="B62" s="131">
        <v>168</v>
      </c>
      <c r="C62" s="132">
        <v>9.73</v>
      </c>
      <c r="D62" s="132">
        <v>6.41</v>
      </c>
      <c r="E62" s="132">
        <v>3.64</v>
      </c>
      <c r="F62" s="132"/>
      <c r="G62" s="132"/>
      <c r="H62" s="132"/>
      <c r="I62" s="133">
        <f t="shared" si="7"/>
        <v>6.5933333333333337</v>
      </c>
      <c r="J62" s="133">
        <f t="shared" si="8"/>
        <v>3.0491364897841691</v>
      </c>
      <c r="M62"/>
      <c r="N62"/>
      <c r="O62"/>
      <c r="U62"/>
      <c r="V62"/>
      <c r="W62"/>
      <c r="AC62"/>
      <c r="AD62"/>
      <c r="AE62"/>
    </row>
    <row r="63" spans="1:31" ht="17.25" customHeight="1">
      <c r="A63" s="44"/>
      <c r="B63" s="59">
        <v>336</v>
      </c>
      <c r="C63" s="39"/>
      <c r="D63" s="39"/>
      <c r="E63" s="39"/>
      <c r="F63" s="39">
        <v>10.9</v>
      </c>
      <c r="G63" s="39">
        <v>7.08</v>
      </c>
      <c r="H63" s="39">
        <v>8.51</v>
      </c>
      <c r="I63" s="40">
        <f t="shared" si="7"/>
        <v>8.83</v>
      </c>
      <c r="J63" s="40">
        <f t="shared" si="8"/>
        <v>1.9299999999999939</v>
      </c>
    </row>
    <row r="64" spans="1:31" ht="17.25" customHeight="1">
      <c r="A64" s="44"/>
      <c r="B64" s="119">
        <v>408</v>
      </c>
      <c r="C64" s="120">
        <v>12.1</v>
      </c>
      <c r="D64" s="120">
        <v>12.8</v>
      </c>
      <c r="E64" s="120">
        <v>7.36</v>
      </c>
      <c r="F64" s="120"/>
      <c r="G64" s="120"/>
      <c r="H64" s="120"/>
      <c r="I64" s="121">
        <f t="shared" si="7"/>
        <v>10.753333333333332</v>
      </c>
      <c r="J64" s="121">
        <f t="shared" si="8"/>
        <v>2.959481936645894</v>
      </c>
    </row>
    <row r="65" spans="1:31" ht="17.25" customHeight="1">
      <c r="A65" s="44"/>
      <c r="B65" s="139">
        <v>504</v>
      </c>
      <c r="C65" s="140"/>
      <c r="D65" s="140"/>
      <c r="E65" s="140"/>
      <c r="F65" s="140">
        <v>5.01</v>
      </c>
      <c r="G65" s="140">
        <v>10.8</v>
      </c>
      <c r="H65" s="140">
        <v>7.4</v>
      </c>
      <c r="I65" s="141">
        <f t="shared" si="7"/>
        <v>7.7366666666666672</v>
      </c>
      <c r="J65" s="141">
        <f t="shared" si="8"/>
        <v>2.9096448809662911</v>
      </c>
    </row>
    <row r="66" spans="1:31" ht="17.25" customHeight="1">
      <c r="A66" s="44"/>
      <c r="B66" s="119">
        <v>576</v>
      </c>
      <c r="C66" s="120">
        <v>7.47</v>
      </c>
      <c r="D66" s="120">
        <v>10.4</v>
      </c>
      <c r="E66" s="120">
        <v>7.27</v>
      </c>
      <c r="F66" s="120"/>
      <c r="G66" s="120"/>
      <c r="H66" s="120"/>
      <c r="I66" s="121">
        <f t="shared" si="7"/>
        <v>8.3800000000000008</v>
      </c>
      <c r="J66" s="121">
        <f t="shared" si="8"/>
        <v>1.7522271542240146</v>
      </c>
    </row>
    <row r="67" spans="1:31" ht="17.25" customHeight="1">
      <c r="A67" s="44"/>
      <c r="B67" s="59">
        <v>672</v>
      </c>
      <c r="C67" s="39"/>
      <c r="D67" s="39"/>
      <c r="E67" s="39"/>
      <c r="F67" s="39">
        <v>1.26</v>
      </c>
      <c r="G67" s="39">
        <v>6.51</v>
      </c>
      <c r="H67" s="39">
        <v>2.21</v>
      </c>
      <c r="I67" s="40">
        <f t="shared" si="7"/>
        <v>3.3266666666666667</v>
      </c>
      <c r="J67" s="40">
        <f t="shared" si="8"/>
        <v>2.7974690942588323</v>
      </c>
    </row>
    <row r="68" spans="1:31" ht="17.25" customHeight="1">
      <c r="A68" s="44"/>
      <c r="B68" s="119">
        <v>768</v>
      </c>
      <c r="C68" s="120">
        <v>0.23</v>
      </c>
      <c r="D68" s="120" t="s">
        <v>181</v>
      </c>
      <c r="E68" s="120">
        <v>0.19</v>
      </c>
      <c r="F68" s="120"/>
      <c r="G68" s="120"/>
      <c r="H68" s="120"/>
      <c r="I68" s="121">
        <f t="shared" si="7"/>
        <v>0.21000000000000002</v>
      </c>
      <c r="J68" s="121">
        <f t="shared" si="8"/>
        <v>2.8284271247461908E-2</v>
      </c>
    </row>
    <row r="69" spans="1:31" ht="17.25" customHeight="1" thickBot="1">
      <c r="A69" s="44"/>
      <c r="B69" s="59">
        <v>864</v>
      </c>
      <c r="C69" s="39"/>
      <c r="D69" s="39"/>
      <c r="E69" s="39"/>
      <c r="F69" s="39">
        <v>0.54</v>
      </c>
      <c r="G69" s="39" t="s">
        <v>180</v>
      </c>
      <c r="H69" s="39">
        <v>0</v>
      </c>
      <c r="I69" s="121" t="s">
        <v>190</v>
      </c>
      <c r="J69" s="40">
        <f t="shared" si="8"/>
        <v>0.3818376618407357</v>
      </c>
    </row>
    <row r="70" spans="1:31" ht="17.25" customHeight="1">
      <c r="A70" s="44"/>
      <c r="B70" s="142">
        <f>42*24</f>
        <v>1008</v>
      </c>
      <c r="C70" s="143">
        <v>0</v>
      </c>
      <c r="D70" s="143">
        <v>0</v>
      </c>
      <c r="E70" s="143">
        <v>0</v>
      </c>
      <c r="F70" s="143"/>
      <c r="G70" s="143"/>
      <c r="H70" s="143"/>
      <c r="I70" s="121" t="s">
        <v>190</v>
      </c>
      <c r="J70" s="145">
        <f t="shared" si="8"/>
        <v>0</v>
      </c>
    </row>
    <row r="71" spans="1:31" ht="17.25" customHeight="1" thickBot="1">
      <c r="A71" s="44"/>
      <c r="B71" s="146">
        <f>49*24</f>
        <v>1176</v>
      </c>
      <c r="C71" s="147"/>
      <c r="D71" s="147"/>
      <c r="E71" s="147"/>
      <c r="F71" s="147">
        <v>0</v>
      </c>
      <c r="G71" s="147">
        <v>0</v>
      </c>
      <c r="H71" s="147">
        <v>0</v>
      </c>
      <c r="I71" s="121" t="s">
        <v>190</v>
      </c>
      <c r="J71" s="149">
        <f t="shared" si="8"/>
        <v>0</v>
      </c>
    </row>
    <row r="72" spans="1:31" ht="17.25" customHeight="1">
      <c r="B72" s="49"/>
      <c r="C72" s="49"/>
      <c r="D72" s="49"/>
      <c r="E72" s="49"/>
      <c r="F72" s="49"/>
      <c r="G72" s="49"/>
      <c r="H72" s="49"/>
      <c r="I72" s="49"/>
      <c r="J72" s="78" t="s">
        <v>107</v>
      </c>
    </row>
    <row r="73" spans="1:31" ht="17.25" customHeight="1">
      <c r="B73" s="49"/>
      <c r="C73" s="49"/>
      <c r="D73" s="49"/>
      <c r="E73" s="49"/>
      <c r="F73" s="49"/>
      <c r="G73" s="49"/>
      <c r="H73" s="49"/>
      <c r="I73" s="49"/>
      <c r="J73" s="78"/>
    </row>
    <row r="74" spans="1:31" ht="17.25" customHeight="1">
      <c r="A74" s="79" t="s">
        <v>133</v>
      </c>
      <c r="B74" s="101" t="s">
        <v>154</v>
      </c>
      <c r="D74" s="49"/>
      <c r="E74" s="49"/>
      <c r="F74" s="49"/>
      <c r="G74" s="49"/>
      <c r="H74" s="49"/>
      <c r="I74" s="49"/>
      <c r="J74" s="49"/>
    </row>
    <row r="75" spans="1:31" ht="17.25" customHeight="1">
      <c r="A75" s="44"/>
      <c r="B75" s="178" t="s">
        <v>0</v>
      </c>
      <c r="C75" s="179" t="s">
        <v>104</v>
      </c>
      <c r="D75" s="180"/>
      <c r="E75" s="180"/>
      <c r="F75" s="180"/>
      <c r="G75" s="180"/>
      <c r="H75" s="180"/>
      <c r="I75" s="180"/>
      <c r="J75" s="181"/>
    </row>
    <row r="76" spans="1:31" ht="17.25" customHeight="1">
      <c r="A76" s="44"/>
      <c r="B76" s="178"/>
      <c r="C76" s="59" t="s">
        <v>158</v>
      </c>
      <c r="D76" s="59" t="s">
        <v>135</v>
      </c>
      <c r="E76" s="59" t="s">
        <v>136</v>
      </c>
      <c r="F76" s="59" t="s">
        <v>159</v>
      </c>
      <c r="G76" s="59" t="s">
        <v>137</v>
      </c>
      <c r="H76" s="59" t="s">
        <v>138</v>
      </c>
      <c r="I76" s="59" t="s">
        <v>74</v>
      </c>
      <c r="J76" s="59" t="s">
        <v>75</v>
      </c>
    </row>
    <row r="77" spans="1:31" ht="17.25" customHeight="1">
      <c r="A77" s="44"/>
      <c r="B77" s="119">
        <v>0.5</v>
      </c>
      <c r="C77" s="120">
        <v>67.599999999999994</v>
      </c>
      <c r="D77" s="120">
        <v>89.9</v>
      </c>
      <c r="E77" s="120">
        <v>45.6</v>
      </c>
      <c r="F77" s="120"/>
      <c r="G77" s="120"/>
      <c r="H77" s="120"/>
      <c r="I77" s="121">
        <f t="shared" ref="I77:I92" si="9">AVERAGE(C77:H77)</f>
        <v>67.7</v>
      </c>
      <c r="J77" s="121">
        <f>STDEV(C77:H77)</f>
        <v>22.150169299578732</v>
      </c>
    </row>
    <row r="78" spans="1:31" ht="17.25" customHeight="1">
      <c r="A78" s="44"/>
      <c r="B78" s="59">
        <v>1</v>
      </c>
      <c r="C78" s="39"/>
      <c r="D78" s="39"/>
      <c r="E78" s="39"/>
      <c r="F78" s="39">
        <v>72.099999999999994</v>
      </c>
      <c r="G78" s="39">
        <v>71.5</v>
      </c>
      <c r="H78" s="39">
        <v>74.7</v>
      </c>
      <c r="I78" s="40">
        <f t="shared" si="9"/>
        <v>72.766666666666666</v>
      </c>
      <c r="J78" s="40">
        <f t="shared" ref="J78:J92" si="10">STDEV(C78:H78)</f>
        <v>1.7009801096230792</v>
      </c>
    </row>
    <row r="79" spans="1:31" ht="17.25" customHeight="1">
      <c r="A79" s="44"/>
      <c r="B79" s="119">
        <v>3</v>
      </c>
      <c r="C79" s="120">
        <v>32.9</v>
      </c>
      <c r="D79" s="120">
        <v>36.9</v>
      </c>
      <c r="E79" s="120">
        <v>42.6</v>
      </c>
      <c r="F79" s="120"/>
      <c r="G79" s="120"/>
      <c r="H79" s="120"/>
      <c r="I79" s="121">
        <f t="shared" si="9"/>
        <v>37.466666666666669</v>
      </c>
      <c r="J79" s="121">
        <f t="shared" si="10"/>
        <v>4.8747649515984737</v>
      </c>
    </row>
    <row r="80" spans="1:31" ht="17.25" customHeight="1">
      <c r="A80" s="44"/>
      <c r="B80" s="59">
        <v>6</v>
      </c>
      <c r="C80" s="39"/>
      <c r="D80" s="39"/>
      <c r="E80" s="39"/>
      <c r="F80" s="39">
        <v>19.8</v>
      </c>
      <c r="G80" s="39">
        <v>33.6</v>
      </c>
      <c r="H80" s="39">
        <v>30.7</v>
      </c>
      <c r="I80" s="40">
        <f t="shared" si="9"/>
        <v>28.033333333333335</v>
      </c>
      <c r="J80" s="40">
        <f t="shared" si="10"/>
        <v>7.2762169657956823</v>
      </c>
      <c r="M80"/>
      <c r="N80"/>
      <c r="O80"/>
      <c r="U80"/>
      <c r="V80"/>
      <c r="W80"/>
      <c r="AC80"/>
      <c r="AD80"/>
      <c r="AE80"/>
    </row>
    <row r="81" spans="1:31" ht="17.25" customHeight="1">
      <c r="A81" s="44"/>
      <c r="B81" s="119">
        <v>24</v>
      </c>
      <c r="C81" s="120">
        <v>17.3</v>
      </c>
      <c r="D81" s="120">
        <v>20.100000000000001</v>
      </c>
      <c r="E81" s="120">
        <v>21.7</v>
      </c>
      <c r="F81" s="120"/>
      <c r="G81" s="120"/>
      <c r="H81" s="120"/>
      <c r="I81" s="121">
        <f t="shared" si="9"/>
        <v>19.700000000000003</v>
      </c>
      <c r="J81" s="121">
        <f t="shared" si="10"/>
        <v>2.227105745132008</v>
      </c>
      <c r="M81"/>
      <c r="N81"/>
      <c r="O81"/>
      <c r="U81"/>
      <c r="V81"/>
      <c r="W81"/>
      <c r="AC81"/>
      <c r="AD81"/>
      <c r="AE81"/>
    </row>
    <row r="82" spans="1:31" ht="17.25" customHeight="1">
      <c r="A82" s="44"/>
      <c r="B82" s="59">
        <v>72</v>
      </c>
      <c r="C82" s="39"/>
      <c r="D82" s="39"/>
      <c r="E82" s="39"/>
      <c r="F82" s="39">
        <v>14.6</v>
      </c>
      <c r="G82" s="39">
        <v>13.4</v>
      </c>
      <c r="H82" s="39">
        <v>13.7</v>
      </c>
      <c r="I82" s="40">
        <f t="shared" si="9"/>
        <v>13.9</v>
      </c>
      <c r="J82" s="40">
        <f t="shared" si="10"/>
        <v>0.62449979983983961</v>
      </c>
      <c r="M82"/>
      <c r="N82"/>
      <c r="O82"/>
      <c r="U82"/>
      <c r="V82"/>
      <c r="W82"/>
      <c r="AC82"/>
      <c r="AD82"/>
      <c r="AE82"/>
    </row>
    <row r="83" spans="1:31" ht="17.25" customHeight="1">
      <c r="A83" s="44"/>
      <c r="B83" s="131">
        <v>168</v>
      </c>
      <c r="C83" s="132">
        <v>29.2</v>
      </c>
      <c r="D83" s="132">
        <v>31.1</v>
      </c>
      <c r="E83" s="132">
        <v>12.8</v>
      </c>
      <c r="F83" s="132"/>
      <c r="G83" s="132"/>
      <c r="H83" s="132"/>
      <c r="I83" s="133">
        <f t="shared" si="9"/>
        <v>24.366666666666664</v>
      </c>
      <c r="J83" s="133">
        <f t="shared" si="10"/>
        <v>10.061974623965893</v>
      </c>
    </row>
    <row r="84" spans="1:31" ht="17.25" customHeight="1">
      <c r="A84" s="44"/>
      <c r="B84" s="59">
        <v>336</v>
      </c>
      <c r="C84" s="39"/>
      <c r="D84" s="39"/>
      <c r="E84" s="39"/>
      <c r="F84" s="39">
        <v>16.7</v>
      </c>
      <c r="G84" s="39">
        <v>16.5</v>
      </c>
      <c r="H84" s="39">
        <v>20.399999999999999</v>
      </c>
      <c r="I84" s="40">
        <f t="shared" si="9"/>
        <v>17.866666666666667</v>
      </c>
      <c r="J84" s="40">
        <f t="shared" si="10"/>
        <v>2.1962088546705503</v>
      </c>
    </row>
    <row r="85" spans="1:31" ht="17.25" customHeight="1">
      <c r="A85" s="44"/>
      <c r="B85" s="119">
        <v>408</v>
      </c>
      <c r="C85" s="120">
        <v>10.7</v>
      </c>
      <c r="D85" s="120">
        <v>13.1</v>
      </c>
      <c r="E85" s="120">
        <v>11.4</v>
      </c>
      <c r="F85" s="120"/>
      <c r="G85" s="120"/>
      <c r="H85" s="120"/>
      <c r="I85" s="121">
        <f t="shared" si="9"/>
        <v>11.733333333333333</v>
      </c>
      <c r="J85" s="121">
        <f t="shared" si="10"/>
        <v>1.2342339054382412</v>
      </c>
    </row>
    <row r="86" spans="1:31" ht="17.25" customHeight="1">
      <c r="A86" s="44"/>
      <c r="B86" s="59">
        <v>504</v>
      </c>
      <c r="C86" s="39"/>
      <c r="D86" s="39"/>
      <c r="E86" s="39"/>
      <c r="F86" s="39">
        <v>6.29</v>
      </c>
      <c r="G86" s="39">
        <v>14.6</v>
      </c>
      <c r="H86" s="39">
        <v>11.7</v>
      </c>
      <c r="I86" s="40">
        <f t="shared" si="9"/>
        <v>10.863333333333335</v>
      </c>
      <c r="J86" s="40">
        <f t="shared" si="10"/>
        <v>4.2177047470553601</v>
      </c>
    </row>
    <row r="87" spans="1:31" ht="17.25" customHeight="1">
      <c r="A87" s="44"/>
      <c r="B87" s="119">
        <v>576</v>
      </c>
      <c r="C87" s="120">
        <v>5.97</v>
      </c>
      <c r="D87" s="120">
        <v>7.15</v>
      </c>
      <c r="E87" s="120">
        <v>7.77</v>
      </c>
      <c r="F87" s="120"/>
      <c r="G87" s="120"/>
      <c r="H87" s="120"/>
      <c r="I87" s="121">
        <f t="shared" si="9"/>
        <v>6.9633333333333338</v>
      </c>
      <c r="J87" s="121">
        <f t="shared" si="10"/>
        <v>0.91440326625254464</v>
      </c>
    </row>
    <row r="88" spans="1:31" ht="17.25" customHeight="1">
      <c r="A88" s="44"/>
      <c r="B88" s="59">
        <v>672</v>
      </c>
      <c r="C88" s="39"/>
      <c r="D88" s="39"/>
      <c r="E88" s="39"/>
      <c r="F88" s="39">
        <v>1.62</v>
      </c>
      <c r="G88" s="39">
        <v>3.17</v>
      </c>
      <c r="H88" s="39">
        <v>1.71</v>
      </c>
      <c r="I88" s="40">
        <f t="shared" si="9"/>
        <v>2.1666666666666665</v>
      </c>
      <c r="J88" s="40">
        <f t="shared" si="10"/>
        <v>0.87007662497812988</v>
      </c>
    </row>
    <row r="89" spans="1:31" ht="17.25" customHeight="1">
      <c r="A89" s="44"/>
      <c r="B89" s="119">
        <v>768</v>
      </c>
      <c r="C89" s="120" t="s">
        <v>180</v>
      </c>
      <c r="D89" s="120">
        <v>0.13</v>
      </c>
      <c r="E89" s="120" t="s">
        <v>182</v>
      </c>
      <c r="F89" s="120"/>
      <c r="G89" s="120"/>
      <c r="H89" s="120"/>
      <c r="I89" s="121" t="s">
        <v>190</v>
      </c>
      <c r="J89" s="121" t="e">
        <f t="shared" si="10"/>
        <v>#DIV/0!</v>
      </c>
    </row>
    <row r="90" spans="1:31" ht="17.25" customHeight="1" thickBot="1">
      <c r="A90" s="44"/>
      <c r="B90" s="59">
        <v>864</v>
      </c>
      <c r="C90" s="39"/>
      <c r="D90" s="39"/>
      <c r="E90" s="39"/>
      <c r="F90" s="39">
        <v>0</v>
      </c>
      <c r="G90" s="39">
        <v>0</v>
      </c>
      <c r="H90" s="39" t="s">
        <v>180</v>
      </c>
      <c r="I90" s="40" t="s">
        <v>190</v>
      </c>
      <c r="J90" s="40">
        <f t="shared" si="10"/>
        <v>0</v>
      </c>
    </row>
    <row r="91" spans="1:31" ht="17.25" customHeight="1">
      <c r="A91" s="44"/>
      <c r="B91" s="142">
        <f>42*24</f>
        <v>1008</v>
      </c>
      <c r="C91" s="143">
        <v>0</v>
      </c>
      <c r="D91" s="143">
        <v>0</v>
      </c>
      <c r="E91" s="143">
        <v>0</v>
      </c>
      <c r="F91" s="143"/>
      <c r="G91" s="143"/>
      <c r="H91" s="143"/>
      <c r="I91" s="144" t="s">
        <v>190</v>
      </c>
      <c r="J91" s="145">
        <f t="shared" si="10"/>
        <v>0</v>
      </c>
    </row>
    <row r="92" spans="1:31" ht="17.25" customHeight="1" thickBot="1">
      <c r="A92" s="44"/>
      <c r="B92" s="146">
        <f>49*24</f>
        <v>1176</v>
      </c>
      <c r="C92" s="147"/>
      <c r="D92" s="147"/>
      <c r="E92" s="147"/>
      <c r="F92" s="147">
        <v>0</v>
      </c>
      <c r="G92" s="147">
        <v>0</v>
      </c>
      <c r="H92" s="147">
        <v>0</v>
      </c>
      <c r="I92" s="148" t="s">
        <v>190</v>
      </c>
      <c r="J92" s="149">
        <f t="shared" si="10"/>
        <v>0</v>
      </c>
    </row>
    <row r="93" spans="1:31" ht="17.25" customHeight="1">
      <c r="B93" s="49"/>
      <c r="C93" s="49"/>
      <c r="D93" s="49"/>
      <c r="E93" s="49"/>
      <c r="F93" s="49"/>
      <c r="G93" s="49"/>
      <c r="H93" s="49"/>
      <c r="I93" s="49"/>
      <c r="J93" s="78" t="s">
        <v>107</v>
      </c>
    </row>
    <row r="94" spans="1:31" ht="17.25" customHeight="1">
      <c r="B94" s="75"/>
      <c r="C94" s="76"/>
      <c r="D94" s="76"/>
      <c r="E94" s="76"/>
      <c r="F94" s="77"/>
      <c r="G94" s="77"/>
      <c r="H94" s="77"/>
      <c r="I94" s="77"/>
      <c r="J94" s="77"/>
    </row>
    <row r="95" spans="1:31" ht="17.25" customHeight="1">
      <c r="B95" s="75"/>
      <c r="C95" s="76"/>
      <c r="D95" s="76"/>
      <c r="E95" s="76"/>
      <c r="F95" s="77"/>
      <c r="G95" s="77"/>
      <c r="H95" s="77"/>
      <c r="I95" s="77"/>
      <c r="J95" s="77"/>
    </row>
    <row r="96" spans="1:31" ht="17.25" customHeight="1">
      <c r="B96" s="75"/>
      <c r="C96" s="76"/>
      <c r="D96" s="76"/>
      <c r="E96" s="76"/>
      <c r="F96" s="77"/>
      <c r="G96" s="77"/>
      <c r="H96" s="77"/>
      <c r="I96" s="77"/>
      <c r="J96" s="77"/>
    </row>
    <row r="97" spans="2:10" ht="17.25" customHeight="1">
      <c r="B97" s="75"/>
      <c r="C97" s="76"/>
      <c r="D97" s="76"/>
      <c r="E97" s="76"/>
      <c r="F97" s="77"/>
      <c r="G97" s="77"/>
      <c r="H97" s="77"/>
      <c r="I97" s="77"/>
      <c r="J97" s="77"/>
    </row>
    <row r="98" spans="2:10" ht="17.25" customHeight="1">
      <c r="B98" s="75"/>
      <c r="C98" s="76"/>
      <c r="D98" s="76"/>
      <c r="E98" s="76"/>
      <c r="F98" s="77"/>
      <c r="G98" s="77"/>
      <c r="H98" s="77"/>
      <c r="I98" s="77"/>
      <c r="J98" s="77"/>
    </row>
    <row r="99" spans="2:10" ht="17.25" customHeight="1">
      <c r="B99" s="75"/>
      <c r="C99" s="76"/>
      <c r="D99" s="76"/>
      <c r="E99" s="76"/>
      <c r="F99" s="77"/>
      <c r="G99" s="77"/>
      <c r="H99" s="77"/>
      <c r="I99" s="77"/>
      <c r="J99" s="77"/>
    </row>
    <row r="100" spans="2:10" ht="17.25" customHeight="1">
      <c r="B100" s="75"/>
      <c r="C100" s="76"/>
      <c r="D100" s="76"/>
      <c r="E100" s="76"/>
      <c r="F100" s="77"/>
      <c r="G100" s="77"/>
      <c r="H100" s="77"/>
      <c r="I100" s="77"/>
      <c r="J100" s="77"/>
    </row>
    <row r="101" spans="2:10" ht="17.25" customHeight="1">
      <c r="B101" s="75"/>
      <c r="C101" s="76"/>
      <c r="D101" s="76"/>
      <c r="E101" s="76"/>
      <c r="F101" s="77"/>
      <c r="G101" s="77"/>
      <c r="H101" s="77"/>
      <c r="I101" s="77"/>
      <c r="J101" s="77"/>
    </row>
    <row r="102" spans="2:10" ht="17.25" customHeight="1">
      <c r="F102" s="41"/>
      <c r="G102" s="41"/>
      <c r="H102" s="41"/>
      <c r="I102" s="41"/>
      <c r="J102" s="60"/>
    </row>
  </sheetData>
  <mergeCells count="19">
    <mergeCell ref="AB1:AH1"/>
    <mergeCell ref="AB8:AB10"/>
    <mergeCell ref="AC8:AD8"/>
    <mergeCell ref="A1:J1"/>
    <mergeCell ref="B33:B34"/>
    <mergeCell ref="C33:J33"/>
    <mergeCell ref="A8:A10"/>
    <mergeCell ref="T1:Z1"/>
    <mergeCell ref="T8:T10"/>
    <mergeCell ref="U8:V8"/>
    <mergeCell ref="L1:R1"/>
    <mergeCell ref="L8:L10"/>
    <mergeCell ref="M8:N8"/>
    <mergeCell ref="B75:B76"/>
    <mergeCell ref="C75:J75"/>
    <mergeCell ref="B8:C8"/>
    <mergeCell ref="E21:F21"/>
    <mergeCell ref="B54:B55"/>
    <mergeCell ref="C54:J54"/>
  </mergeCells>
  <phoneticPr fontId="18" type="noConversion"/>
  <pageMargins left="0.75" right="0.75" top="1" bottom="1" header="0.3" footer="0.3"/>
  <pageSetup paperSize="9" orientation="landscape" r:id="rId1"/>
  <ignoredErrors>
    <ignoredError sqref="I35:J40 I56:J62 I77:J83 I63:J68 I41:J47 I84:J88 J90 J89 J48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7"/>
  <sheetViews>
    <sheetView zoomScale="85" zoomScaleNormal="85" workbookViewId="0">
      <selection activeCell="L42" sqref="L42"/>
    </sheetView>
  </sheetViews>
  <sheetFormatPr defaultColWidth="9" defaultRowHeight="14"/>
  <cols>
    <col min="1" max="1" width="10" style="63" bestFit="1" customWidth="1"/>
    <col min="2" max="2" width="12" style="63" bestFit="1" customWidth="1"/>
    <col min="3" max="3" width="7.83203125" style="63" customWidth="1"/>
    <col min="4" max="4" width="3.25" style="63" bestFit="1" customWidth="1"/>
    <col min="5" max="6" width="7.33203125" style="63" bestFit="1" customWidth="1"/>
    <col min="7" max="9" width="8.75" style="63" customWidth="1"/>
    <col min="10" max="10" width="3.33203125" style="62" customWidth="1"/>
    <col min="11" max="16384" width="9" style="23"/>
  </cols>
  <sheetData>
    <row r="1" spans="1:9">
      <c r="A1" s="61" t="s">
        <v>72</v>
      </c>
      <c r="B1" s="61"/>
      <c r="C1" s="61"/>
      <c r="D1" s="61"/>
      <c r="E1" s="61"/>
      <c r="F1" s="61"/>
      <c r="G1" s="61"/>
      <c r="H1" s="61"/>
      <c r="I1" s="61"/>
    </row>
    <row r="2" spans="1:9" ht="16">
      <c r="A2" s="191" t="s">
        <v>92</v>
      </c>
      <c r="B2" s="191"/>
      <c r="C2" s="191"/>
      <c r="D2" s="191"/>
      <c r="E2" s="191"/>
      <c r="F2" s="191"/>
      <c r="G2" s="191"/>
      <c r="H2" s="191"/>
      <c r="I2" s="191"/>
    </row>
    <row r="3" spans="1:9" ht="16">
      <c r="A3" s="192" t="s">
        <v>40</v>
      </c>
      <c r="B3" s="193"/>
      <c r="C3" s="225" t="s">
        <v>109</v>
      </c>
      <c r="D3" s="226"/>
      <c r="E3" s="226"/>
      <c r="F3" s="226"/>
      <c r="G3" s="226"/>
      <c r="H3" s="226"/>
      <c r="I3" s="226"/>
    </row>
    <row r="4" spans="1:9">
      <c r="A4" s="215" t="s">
        <v>160</v>
      </c>
      <c r="B4" s="216"/>
      <c r="C4" s="215" t="s">
        <v>128</v>
      </c>
      <c r="D4" s="215"/>
      <c r="E4" s="215"/>
      <c r="F4" s="215"/>
      <c r="G4" s="215"/>
      <c r="H4" s="215"/>
      <c r="I4" s="215"/>
    </row>
    <row r="5" spans="1:9" ht="16">
      <c r="A5" s="215" t="s">
        <v>41</v>
      </c>
      <c r="B5" s="216"/>
      <c r="C5" s="209" t="s">
        <v>110</v>
      </c>
      <c r="D5" s="210"/>
      <c r="E5" s="210"/>
      <c r="F5" s="210"/>
      <c r="G5" s="210"/>
      <c r="H5" s="210"/>
      <c r="I5" s="210"/>
    </row>
    <row r="6" spans="1:9" ht="16">
      <c r="A6" s="192" t="s">
        <v>42</v>
      </c>
      <c r="B6" s="193"/>
      <c r="C6" s="194" t="s">
        <v>93</v>
      </c>
      <c r="D6" s="192"/>
      <c r="E6" s="192"/>
      <c r="F6" s="192"/>
      <c r="G6" s="192"/>
      <c r="H6" s="192"/>
      <c r="I6" s="192"/>
    </row>
    <row r="7" spans="1:9">
      <c r="A7" s="203" t="s">
        <v>43</v>
      </c>
      <c r="B7" s="220"/>
      <c r="C7" s="223" t="s">
        <v>44</v>
      </c>
      <c r="D7" s="203"/>
      <c r="E7" s="202" t="s">
        <v>111</v>
      </c>
      <c r="F7" s="202"/>
      <c r="G7" s="202"/>
      <c r="H7" s="202"/>
      <c r="I7" s="202"/>
    </row>
    <row r="8" spans="1:9">
      <c r="A8" s="221"/>
      <c r="B8" s="222"/>
      <c r="C8" s="224" t="s">
        <v>45</v>
      </c>
      <c r="D8" s="221"/>
      <c r="E8" s="205" t="s">
        <v>112</v>
      </c>
      <c r="F8" s="205"/>
      <c r="G8" s="205"/>
      <c r="H8" s="205"/>
      <c r="I8" s="205"/>
    </row>
    <row r="9" spans="1:9">
      <c r="A9" s="203" t="s">
        <v>77</v>
      </c>
      <c r="B9" s="220"/>
      <c r="C9" s="217" t="s">
        <v>46</v>
      </c>
      <c r="D9" s="216"/>
      <c r="E9" s="217" t="s">
        <v>47</v>
      </c>
      <c r="F9" s="216"/>
      <c r="G9" s="217" t="s">
        <v>140</v>
      </c>
      <c r="H9" s="215"/>
      <c r="I9" s="215"/>
    </row>
    <row r="10" spans="1:9">
      <c r="A10" s="208"/>
      <c r="B10" s="229"/>
      <c r="C10" s="232">
        <v>0</v>
      </c>
      <c r="D10" s="233"/>
      <c r="E10" s="223">
        <v>90</v>
      </c>
      <c r="F10" s="220"/>
      <c r="G10" s="223">
        <v>300</v>
      </c>
      <c r="H10" s="203"/>
      <c r="I10" s="203"/>
    </row>
    <row r="11" spans="1:9">
      <c r="A11" s="221"/>
      <c r="B11" s="222"/>
      <c r="C11" s="227">
        <v>2</v>
      </c>
      <c r="D11" s="228"/>
      <c r="E11" s="224">
        <v>90</v>
      </c>
      <c r="F11" s="222"/>
      <c r="G11" s="224">
        <v>300</v>
      </c>
      <c r="H11" s="221"/>
      <c r="I11" s="221"/>
    </row>
    <row r="12" spans="1:9">
      <c r="A12" s="192" t="s">
        <v>142</v>
      </c>
      <c r="B12" s="193"/>
      <c r="C12" s="230" t="s">
        <v>141</v>
      </c>
      <c r="D12" s="231"/>
      <c r="E12" s="231"/>
      <c r="F12" s="231"/>
      <c r="G12" s="231"/>
      <c r="H12" s="231"/>
      <c r="I12" s="231"/>
    </row>
    <row r="13" spans="1:9" ht="16">
      <c r="A13" s="192" t="s">
        <v>48</v>
      </c>
      <c r="B13" s="193"/>
      <c r="C13" s="194" t="s">
        <v>94</v>
      </c>
      <c r="D13" s="192"/>
      <c r="E13" s="192"/>
      <c r="F13" s="192"/>
      <c r="G13" s="192"/>
      <c r="H13" s="192"/>
      <c r="I13" s="192"/>
    </row>
    <row r="14" spans="1:9">
      <c r="A14" s="65"/>
      <c r="B14" s="65"/>
      <c r="C14" s="68"/>
      <c r="D14" s="68"/>
      <c r="E14" s="68"/>
      <c r="F14" s="68"/>
      <c r="G14" s="68"/>
      <c r="H14" s="68"/>
      <c r="I14" s="68"/>
    </row>
    <row r="15" spans="1:9" ht="16">
      <c r="A15" s="191" t="s">
        <v>95</v>
      </c>
      <c r="B15" s="191"/>
      <c r="C15" s="191"/>
      <c r="D15" s="191"/>
      <c r="E15" s="191"/>
      <c r="F15" s="191"/>
      <c r="G15" s="191"/>
      <c r="H15" s="191"/>
      <c r="I15" s="191"/>
    </row>
    <row r="16" spans="1:9" ht="16">
      <c r="A16" s="192" t="s">
        <v>49</v>
      </c>
      <c r="B16" s="193"/>
      <c r="C16" s="209" t="s">
        <v>113</v>
      </c>
      <c r="D16" s="210"/>
      <c r="E16" s="210"/>
      <c r="F16" s="210"/>
      <c r="G16" s="210"/>
      <c r="H16" s="210"/>
      <c r="I16" s="210"/>
    </row>
    <row r="17" spans="1:16" ht="16">
      <c r="A17" s="192" t="s">
        <v>50</v>
      </c>
      <c r="B17" s="193"/>
      <c r="C17" s="209">
        <v>35</v>
      </c>
      <c r="D17" s="210"/>
      <c r="E17" s="210"/>
      <c r="F17" s="210"/>
      <c r="G17" s="210"/>
      <c r="H17" s="210"/>
      <c r="I17" s="210"/>
    </row>
    <row r="18" spans="1:16" ht="16">
      <c r="A18" s="192" t="s">
        <v>51</v>
      </c>
      <c r="B18" s="193"/>
      <c r="C18" s="209">
        <v>50</v>
      </c>
      <c r="D18" s="210"/>
      <c r="E18" s="210"/>
      <c r="F18" s="210"/>
      <c r="G18" s="210"/>
      <c r="H18" s="210"/>
      <c r="I18" s="210"/>
    </row>
    <row r="19" spans="1:16" ht="16">
      <c r="A19" s="192" t="s">
        <v>52</v>
      </c>
      <c r="B19" s="193"/>
      <c r="C19" s="209">
        <v>50</v>
      </c>
      <c r="D19" s="210"/>
      <c r="E19" s="210"/>
      <c r="F19" s="210"/>
      <c r="G19" s="210"/>
      <c r="H19" s="210"/>
      <c r="I19" s="210"/>
    </row>
    <row r="20" spans="1:16" ht="16">
      <c r="A20" s="192" t="s">
        <v>53</v>
      </c>
      <c r="B20" s="193"/>
      <c r="C20" s="209">
        <v>5500</v>
      </c>
      <c r="D20" s="210"/>
      <c r="E20" s="210"/>
      <c r="F20" s="210"/>
      <c r="G20" s="210"/>
      <c r="H20" s="210"/>
      <c r="I20" s="210"/>
    </row>
    <row r="21" spans="1:16" ht="16">
      <c r="A21" s="192" t="s">
        <v>54</v>
      </c>
      <c r="B21" s="193"/>
      <c r="C21" s="209">
        <v>500</v>
      </c>
      <c r="D21" s="210"/>
      <c r="E21" s="210"/>
      <c r="F21" s="210"/>
      <c r="G21" s="210"/>
      <c r="H21" s="210"/>
      <c r="I21" s="210"/>
    </row>
    <row r="22" spans="1:16" ht="16">
      <c r="A22" s="192" t="s">
        <v>55</v>
      </c>
      <c r="B22" s="193"/>
      <c r="C22" s="209" t="s">
        <v>56</v>
      </c>
      <c r="D22" s="210"/>
      <c r="E22" s="210"/>
      <c r="F22" s="210"/>
      <c r="G22" s="210"/>
      <c r="H22" s="210"/>
      <c r="I22" s="210"/>
    </row>
    <row r="23" spans="1:16">
      <c r="A23" s="65"/>
      <c r="B23" s="65"/>
      <c r="C23" s="65"/>
      <c r="D23" s="65"/>
      <c r="E23" s="65"/>
      <c r="F23" s="65"/>
      <c r="G23" s="65"/>
      <c r="H23" s="65"/>
      <c r="I23" s="65"/>
    </row>
    <row r="24" spans="1:16" ht="16">
      <c r="A24" s="191" t="s">
        <v>96</v>
      </c>
      <c r="B24" s="191"/>
      <c r="C24" s="191"/>
      <c r="D24" s="191"/>
      <c r="E24" s="191"/>
      <c r="F24" s="191"/>
      <c r="G24" s="191"/>
      <c r="H24" s="191"/>
      <c r="I24" s="191"/>
      <c r="L24" s="102"/>
      <c r="P24" s="102"/>
    </row>
    <row r="25" spans="1:16">
      <c r="A25" s="192"/>
      <c r="B25" s="193"/>
      <c r="C25" s="194" t="s">
        <v>61</v>
      </c>
      <c r="D25" s="192"/>
      <c r="E25" s="193"/>
      <c r="F25" s="69" t="s">
        <v>62</v>
      </c>
      <c r="G25" s="194" t="s">
        <v>73</v>
      </c>
      <c r="H25" s="192"/>
      <c r="I25" s="192"/>
    </row>
    <row r="26" spans="1:16" ht="17">
      <c r="A26" s="215" t="s">
        <v>108</v>
      </c>
      <c r="B26" s="216"/>
      <c r="C26" s="217" t="s">
        <v>114</v>
      </c>
      <c r="D26" s="215"/>
      <c r="E26" s="216"/>
      <c r="F26" s="82">
        <v>804.03099999999995</v>
      </c>
      <c r="G26" s="218">
        <v>803.48199999999997</v>
      </c>
      <c r="H26" s="219"/>
      <c r="I26" s="219"/>
      <c r="M26" s="95"/>
      <c r="N26" s="95"/>
    </row>
    <row r="27" spans="1:16" ht="15.5">
      <c r="A27" s="215" t="s">
        <v>115</v>
      </c>
      <c r="B27" s="216"/>
      <c r="C27" s="217" t="s">
        <v>116</v>
      </c>
      <c r="D27" s="215"/>
      <c r="E27" s="216"/>
      <c r="F27" s="82">
        <v>958.22400000000005</v>
      </c>
      <c r="G27" s="218">
        <v>957.58140000000003</v>
      </c>
      <c r="H27" s="219"/>
      <c r="I27" s="219"/>
    </row>
    <row r="29" spans="1:16" ht="16">
      <c r="A29" s="191" t="s">
        <v>97</v>
      </c>
      <c r="B29" s="191"/>
      <c r="C29" s="191"/>
      <c r="D29" s="191"/>
      <c r="E29" s="191"/>
      <c r="F29" s="191"/>
      <c r="G29" s="191"/>
      <c r="H29" s="191"/>
      <c r="I29" s="191"/>
    </row>
    <row r="30" spans="1:16">
      <c r="A30" s="192"/>
      <c r="B30" s="193"/>
      <c r="C30" s="194" t="s">
        <v>57</v>
      </c>
      <c r="D30" s="192"/>
      <c r="E30" s="193"/>
      <c r="F30" s="69" t="s">
        <v>58</v>
      </c>
      <c r="G30" s="69" t="s">
        <v>59</v>
      </c>
      <c r="H30" s="69" t="s">
        <v>60</v>
      </c>
      <c r="I30" s="70" t="s">
        <v>88</v>
      </c>
      <c r="L30" s="102"/>
      <c r="M30" s="102"/>
      <c r="N30" s="102"/>
      <c r="O30" s="102"/>
      <c r="P30" s="102"/>
    </row>
    <row r="31" spans="1:16" ht="16">
      <c r="A31" s="66" t="s">
        <v>63</v>
      </c>
      <c r="B31" s="83" t="s">
        <v>108</v>
      </c>
      <c r="C31" s="81">
        <v>826.44600000000003</v>
      </c>
      <c r="D31" s="64" t="s">
        <v>98</v>
      </c>
      <c r="E31" s="84">
        <v>616.20000000000005</v>
      </c>
      <c r="F31" s="85">
        <v>6</v>
      </c>
      <c r="G31" s="85">
        <v>49</v>
      </c>
      <c r="H31" s="85">
        <v>14</v>
      </c>
      <c r="I31" s="86">
        <v>0.82799999999999996</v>
      </c>
    </row>
    <row r="32" spans="1:16" ht="16">
      <c r="A32" s="67" t="s">
        <v>64</v>
      </c>
      <c r="B32" s="80" t="s">
        <v>115</v>
      </c>
      <c r="C32" s="71">
        <v>980.55899999999997</v>
      </c>
      <c r="D32" s="64" t="s">
        <v>98</v>
      </c>
      <c r="E32" s="87">
        <v>389.2</v>
      </c>
      <c r="F32" s="88">
        <v>1</v>
      </c>
      <c r="G32" s="88">
        <v>77</v>
      </c>
      <c r="H32" s="88">
        <v>12</v>
      </c>
      <c r="I32" s="89">
        <v>0.84</v>
      </c>
    </row>
    <row r="33" spans="1:19" s="63" customFormat="1">
      <c r="J33" s="62"/>
      <c r="O33" s="106"/>
      <c r="P33" s="106"/>
      <c r="Q33" s="106"/>
      <c r="R33" s="106"/>
      <c r="S33" s="106"/>
    </row>
    <row r="34" spans="1:19" ht="16">
      <c r="A34" s="191" t="s">
        <v>99</v>
      </c>
      <c r="B34" s="191"/>
      <c r="C34" s="191"/>
      <c r="D34" s="191"/>
      <c r="E34" s="191"/>
      <c r="F34" s="191"/>
      <c r="G34" s="191"/>
      <c r="H34" s="191"/>
      <c r="I34" s="191"/>
    </row>
    <row r="35" spans="1:19" s="63" customFormat="1">
      <c r="A35" s="195" t="s">
        <v>65</v>
      </c>
      <c r="B35" s="196"/>
      <c r="C35" s="201" t="s">
        <v>66</v>
      </c>
      <c r="D35" s="202"/>
      <c r="E35" s="202"/>
      <c r="F35" s="203">
        <v>1.2</v>
      </c>
      <c r="G35" s="203"/>
      <c r="H35" s="203"/>
      <c r="I35" s="90" t="s">
        <v>67</v>
      </c>
      <c r="J35" s="62"/>
    </row>
    <row r="36" spans="1:19" s="63" customFormat="1">
      <c r="A36" s="197"/>
      <c r="B36" s="198"/>
      <c r="C36" s="206" t="s">
        <v>78</v>
      </c>
      <c r="D36" s="207"/>
      <c r="E36" s="207"/>
      <c r="F36" s="208">
        <f>F35/10</f>
        <v>0.12</v>
      </c>
      <c r="G36" s="208"/>
      <c r="H36" s="208"/>
      <c r="I36" s="91" t="s">
        <v>76</v>
      </c>
      <c r="J36" s="62"/>
    </row>
    <row r="37" spans="1:19" s="63" customFormat="1">
      <c r="A37" s="199"/>
      <c r="B37" s="200"/>
      <c r="C37" s="204" t="s">
        <v>79</v>
      </c>
      <c r="D37" s="205"/>
      <c r="E37" s="205"/>
      <c r="F37" s="205"/>
      <c r="G37" s="205"/>
      <c r="H37" s="205"/>
      <c r="I37" s="205"/>
      <c r="J37" s="62"/>
    </row>
    <row r="38" spans="1:19" s="63" customFormat="1">
      <c r="A38" s="195" t="s">
        <v>68</v>
      </c>
      <c r="B38" s="196"/>
      <c r="C38" s="201" t="s">
        <v>117</v>
      </c>
      <c r="D38" s="202"/>
      <c r="E38" s="202"/>
      <c r="F38" s="202"/>
      <c r="G38" s="202"/>
      <c r="H38" s="202"/>
      <c r="I38" s="202"/>
      <c r="J38" s="62"/>
    </row>
    <row r="39" spans="1:19">
      <c r="A39" s="199"/>
      <c r="B39" s="200"/>
      <c r="C39" s="204" t="s">
        <v>143</v>
      </c>
      <c r="D39" s="205"/>
      <c r="E39" s="205"/>
      <c r="F39" s="205"/>
      <c r="G39" s="205"/>
      <c r="H39" s="205"/>
      <c r="I39" s="205"/>
    </row>
    <row r="40" spans="1:19">
      <c r="A40" s="195" t="s">
        <v>69</v>
      </c>
      <c r="B40" s="196"/>
      <c r="C40" s="201" t="s">
        <v>168</v>
      </c>
      <c r="D40" s="202"/>
      <c r="E40" s="202"/>
      <c r="F40" s="202"/>
      <c r="G40" s="202"/>
      <c r="H40" s="202"/>
      <c r="I40" s="202"/>
    </row>
    <row r="41" spans="1:19">
      <c r="A41" s="197"/>
      <c r="B41" s="198"/>
      <c r="C41" s="206" t="s">
        <v>79</v>
      </c>
      <c r="D41" s="207"/>
      <c r="E41" s="207"/>
      <c r="F41" s="207"/>
      <c r="G41" s="207"/>
      <c r="H41" s="207"/>
      <c r="I41" s="207"/>
    </row>
    <row r="42" spans="1:19">
      <c r="A42" s="199"/>
      <c r="B42" s="200"/>
      <c r="C42" s="204" t="s">
        <v>118</v>
      </c>
      <c r="D42" s="205"/>
      <c r="E42" s="205"/>
      <c r="F42" s="205"/>
      <c r="G42" s="205"/>
      <c r="H42" s="205"/>
      <c r="I42" s="205"/>
    </row>
    <row r="43" spans="1:19" ht="70" customHeight="1">
      <c r="A43" s="211" t="s">
        <v>119</v>
      </c>
      <c r="B43" s="212"/>
      <c r="C43" s="213" t="s">
        <v>164</v>
      </c>
      <c r="D43" s="214"/>
      <c r="E43" s="214"/>
      <c r="F43" s="214"/>
      <c r="G43" s="214"/>
      <c r="H43" s="214"/>
      <c r="I43" s="214"/>
    </row>
    <row r="44" spans="1:19" ht="16.5" customHeight="1">
      <c r="I44" s="92" t="s">
        <v>120</v>
      </c>
    </row>
    <row r="45" spans="1:19">
      <c r="A45" s="190" t="s">
        <v>163</v>
      </c>
      <c r="B45" s="190"/>
    </row>
    <row r="47" spans="1:19">
      <c r="O47" s="102"/>
      <c r="P47" s="102"/>
      <c r="Q47" s="102"/>
      <c r="R47" s="102"/>
      <c r="S47" s="102"/>
    </row>
  </sheetData>
  <mergeCells count="73">
    <mergeCell ref="C13:I13"/>
    <mergeCell ref="A13:B13"/>
    <mergeCell ref="C11:D11"/>
    <mergeCell ref="A9:B11"/>
    <mergeCell ref="A12:B12"/>
    <mergeCell ref="C12:I12"/>
    <mergeCell ref="C9:D9"/>
    <mergeCell ref="E9:F9"/>
    <mergeCell ref="G9:I9"/>
    <mergeCell ref="E11:F11"/>
    <mergeCell ref="C10:D10"/>
    <mergeCell ref="E10:F10"/>
    <mergeCell ref="G10:I10"/>
    <mergeCell ref="G11:I11"/>
    <mergeCell ref="A2:I2"/>
    <mergeCell ref="A3:B3"/>
    <mergeCell ref="C3:I3"/>
    <mergeCell ref="A5:B5"/>
    <mergeCell ref="C5:I5"/>
    <mergeCell ref="A4:B4"/>
    <mergeCell ref="C4:I4"/>
    <mergeCell ref="A6:B6"/>
    <mergeCell ref="C6:I6"/>
    <mergeCell ref="A7:B8"/>
    <mergeCell ref="C7:D7"/>
    <mergeCell ref="E7:I7"/>
    <mergeCell ref="C8:D8"/>
    <mergeCell ref="E8:I8"/>
    <mergeCell ref="A43:B43"/>
    <mergeCell ref="A22:B22"/>
    <mergeCell ref="C20:I20"/>
    <mergeCell ref="A21:B21"/>
    <mergeCell ref="C41:I41"/>
    <mergeCell ref="C43:I43"/>
    <mergeCell ref="C42:I42"/>
    <mergeCell ref="A26:B26"/>
    <mergeCell ref="C26:E26"/>
    <mergeCell ref="G26:I26"/>
    <mergeCell ref="C21:I21"/>
    <mergeCell ref="C22:I22"/>
    <mergeCell ref="A27:B27"/>
    <mergeCell ref="C27:E27"/>
    <mergeCell ref="G27:I27"/>
    <mergeCell ref="A20:B20"/>
    <mergeCell ref="A15:I15"/>
    <mergeCell ref="A16:B16"/>
    <mergeCell ref="C16:I16"/>
    <mergeCell ref="A24:I24"/>
    <mergeCell ref="A25:B25"/>
    <mergeCell ref="C25:E25"/>
    <mergeCell ref="G25:I25"/>
    <mergeCell ref="A17:B17"/>
    <mergeCell ref="C17:I17"/>
    <mergeCell ref="A19:B19"/>
    <mergeCell ref="C19:I19"/>
    <mergeCell ref="A18:B18"/>
    <mergeCell ref="C18:I18"/>
    <mergeCell ref="A45:B45"/>
    <mergeCell ref="A29:I29"/>
    <mergeCell ref="A30:B30"/>
    <mergeCell ref="C30:E30"/>
    <mergeCell ref="A34:I34"/>
    <mergeCell ref="A35:B37"/>
    <mergeCell ref="C35:E35"/>
    <mergeCell ref="F35:H35"/>
    <mergeCell ref="C37:I37"/>
    <mergeCell ref="C39:I39"/>
    <mergeCell ref="C40:I40"/>
    <mergeCell ref="C36:E36"/>
    <mergeCell ref="C38:I38"/>
    <mergeCell ref="F36:H36"/>
    <mergeCell ref="A38:B39"/>
    <mergeCell ref="A40:B4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E46A-ECA8-44CD-B390-0B0F73459DDD}">
  <dimension ref="B1:AB30"/>
  <sheetViews>
    <sheetView tabSelected="1" workbookViewId="0">
      <selection sqref="A1:XFD1048576"/>
    </sheetView>
  </sheetViews>
  <sheetFormatPr defaultRowHeight="17"/>
  <cols>
    <col min="2" max="2" width="12.08203125" style="234" customWidth="1"/>
    <col min="3" max="3" width="6.33203125" style="234" customWidth="1"/>
    <col min="4" max="11" width="11.5" style="234" customWidth="1"/>
    <col min="14" max="14" width="9" customWidth="1"/>
  </cols>
  <sheetData>
    <row r="1" spans="2:14" ht="17.5" thickBot="1"/>
    <row r="2" spans="2:14" ht="17.5" thickBot="1">
      <c r="B2" s="235" t="s">
        <v>191</v>
      </c>
      <c r="C2" s="236"/>
      <c r="D2" s="236"/>
      <c r="E2" s="236"/>
      <c r="F2" s="236"/>
      <c r="G2" s="236"/>
      <c r="H2" s="236"/>
      <c r="I2" s="236"/>
      <c r="J2" s="236"/>
      <c r="K2" s="237"/>
      <c r="L2" s="238"/>
      <c r="M2" s="238"/>
      <c r="N2" s="238"/>
    </row>
    <row r="3" spans="2:14" ht="17.5" thickBot="1"/>
    <row r="4" spans="2:14">
      <c r="B4" s="239" t="s">
        <v>192</v>
      </c>
      <c r="C4" s="240" t="s">
        <v>193</v>
      </c>
      <c r="D4" s="241" t="s">
        <v>194</v>
      </c>
      <c r="E4" s="241" t="s">
        <v>195</v>
      </c>
      <c r="F4" s="241" t="s">
        <v>196</v>
      </c>
      <c r="G4" s="241" t="s">
        <v>197</v>
      </c>
      <c r="H4" s="241" t="s">
        <v>198</v>
      </c>
      <c r="I4" s="241" t="s">
        <v>199</v>
      </c>
      <c r="J4" s="241" t="s">
        <v>200</v>
      </c>
      <c r="K4" s="242" t="s">
        <v>201</v>
      </c>
    </row>
    <row r="5" spans="2:14">
      <c r="B5" s="243"/>
      <c r="C5" s="244"/>
      <c r="D5" s="245">
        <v>46092</v>
      </c>
      <c r="E5" s="245">
        <v>46099</v>
      </c>
      <c r="F5" s="245">
        <v>46106</v>
      </c>
      <c r="G5" s="245">
        <v>46113</v>
      </c>
      <c r="H5" s="245">
        <v>46120</v>
      </c>
      <c r="I5" s="245">
        <v>46127</v>
      </c>
      <c r="J5" s="245">
        <v>46134</v>
      </c>
      <c r="K5" s="246">
        <v>46141</v>
      </c>
    </row>
    <row r="6" spans="2:14">
      <c r="B6" s="247" t="s">
        <v>202</v>
      </c>
      <c r="C6" s="248">
        <v>1</v>
      </c>
      <c r="D6" s="248">
        <v>33.9</v>
      </c>
      <c r="E6" s="249">
        <v>34</v>
      </c>
      <c r="F6" s="248">
        <v>35.4</v>
      </c>
      <c r="G6" s="248">
        <v>36.4</v>
      </c>
      <c r="H6" s="248">
        <v>38.4</v>
      </c>
      <c r="I6" s="248">
        <v>39.5</v>
      </c>
      <c r="J6" s="248">
        <v>40.9</v>
      </c>
      <c r="K6" s="250">
        <v>41.1</v>
      </c>
    </row>
    <row r="7" spans="2:14">
      <c r="B7" s="247"/>
      <c r="C7" s="248">
        <v>2</v>
      </c>
      <c r="D7" s="248">
        <v>34.5</v>
      </c>
      <c r="E7" s="249">
        <v>37</v>
      </c>
      <c r="F7" s="248">
        <v>38.9</v>
      </c>
      <c r="G7" s="248">
        <v>39.1</v>
      </c>
      <c r="H7" s="248">
        <v>39.9</v>
      </c>
      <c r="I7" s="248">
        <v>40.6</v>
      </c>
      <c r="J7" s="248">
        <v>40.799999999999997</v>
      </c>
      <c r="K7" s="250">
        <v>42.3</v>
      </c>
    </row>
    <row r="8" spans="2:14">
      <c r="B8" s="247"/>
      <c r="C8" s="248">
        <v>3</v>
      </c>
      <c r="D8" s="248">
        <v>34.200000000000003</v>
      </c>
      <c r="E8" s="248">
        <v>35.9</v>
      </c>
      <c r="F8" s="248">
        <v>37.299999999999997</v>
      </c>
      <c r="G8" s="248">
        <v>38.200000000000003</v>
      </c>
      <c r="H8" s="248">
        <v>39.1</v>
      </c>
      <c r="I8" s="248">
        <v>40.6</v>
      </c>
      <c r="J8" s="248">
        <v>40.700000000000003</v>
      </c>
      <c r="K8" s="251">
        <v>41.1</v>
      </c>
    </row>
    <row r="9" spans="2:14">
      <c r="B9" s="247"/>
      <c r="C9" s="248">
        <v>4</v>
      </c>
      <c r="D9" s="249">
        <v>34.9</v>
      </c>
      <c r="E9" s="249">
        <v>33.1</v>
      </c>
      <c r="F9" s="249">
        <v>36.700000000000003</v>
      </c>
      <c r="G9" s="249">
        <v>37.299999999999997</v>
      </c>
      <c r="H9" s="249">
        <v>38</v>
      </c>
      <c r="I9" s="249">
        <v>38.700000000000003</v>
      </c>
      <c r="J9" s="249">
        <v>39.1</v>
      </c>
      <c r="K9" s="251">
        <v>40.9</v>
      </c>
    </row>
    <row r="10" spans="2:14">
      <c r="B10" s="247"/>
      <c r="C10" s="248">
        <v>5</v>
      </c>
      <c r="D10" s="249">
        <v>34.5</v>
      </c>
      <c r="E10" s="249">
        <v>34.799999999999997</v>
      </c>
      <c r="F10" s="249">
        <v>36.200000000000003</v>
      </c>
      <c r="G10" s="249">
        <v>37.5</v>
      </c>
      <c r="H10" s="249">
        <v>38.799999999999997</v>
      </c>
      <c r="I10" s="249">
        <v>39</v>
      </c>
      <c r="J10" s="249">
        <v>40.1</v>
      </c>
      <c r="K10" s="251">
        <v>40.299999999999997</v>
      </c>
    </row>
    <row r="11" spans="2:14" ht="17.5" thickBot="1">
      <c r="B11" s="247"/>
      <c r="C11" s="248">
        <v>6</v>
      </c>
      <c r="D11" s="248">
        <v>35.200000000000003</v>
      </c>
      <c r="E11" s="248">
        <v>36.299999999999997</v>
      </c>
      <c r="F11" s="248">
        <v>36.4</v>
      </c>
      <c r="G11" s="248">
        <v>38.5</v>
      </c>
      <c r="H11" s="248">
        <v>39.9</v>
      </c>
      <c r="I11" s="248">
        <v>40.9</v>
      </c>
      <c r="J11" s="248">
        <v>42.6</v>
      </c>
      <c r="K11" s="250">
        <v>42.7</v>
      </c>
    </row>
    <row r="12" spans="2:14">
      <c r="B12" s="252" t="s">
        <v>74</v>
      </c>
      <c r="C12" s="253"/>
      <c r="D12" s="254">
        <f>AVERAGE(D6:D11)</f>
        <v>34.533333333333331</v>
      </c>
      <c r="E12" s="254">
        <f>AVERAGE(E6:E11)</f>
        <v>35.183333333333337</v>
      </c>
      <c r="F12" s="254">
        <f>AVERAGE(F6:F11)</f>
        <v>36.81666666666667</v>
      </c>
      <c r="G12" s="254">
        <f t="shared" ref="G12:I12" si="0">AVERAGE(G6:G11)</f>
        <v>37.833333333333336</v>
      </c>
      <c r="H12" s="254">
        <f t="shared" si="0"/>
        <v>39.016666666666666</v>
      </c>
      <c r="I12" s="254">
        <f t="shared" si="0"/>
        <v>39.883333333333333</v>
      </c>
      <c r="J12" s="254">
        <f>AVERAGE(J6:J11)</f>
        <v>40.699999999999996</v>
      </c>
      <c r="K12" s="255">
        <f>AVERAGE(K6:K11)</f>
        <v>41.4</v>
      </c>
    </row>
    <row r="13" spans="2:14" ht="17.5" thickBot="1">
      <c r="B13" s="256" t="s">
        <v>75</v>
      </c>
      <c r="C13" s="257"/>
      <c r="D13" s="258">
        <f>STDEV(D6:D11)</f>
        <v>0.46761807778000541</v>
      </c>
      <c r="E13" s="258">
        <f>STDEV(E6:E11)</f>
        <v>1.4797522315126488</v>
      </c>
      <c r="F13" s="258">
        <f>STDEV(F6:F11)</f>
        <v>1.1956866925188494</v>
      </c>
      <c r="G13" s="258">
        <f t="shared" ref="G13:I13" si="1">STDEV(G6:G11)</f>
        <v>0.96263527187957798</v>
      </c>
      <c r="H13" s="258">
        <f t="shared" si="1"/>
        <v>0.77824589087682716</v>
      </c>
      <c r="I13" s="258">
        <f t="shared" si="1"/>
        <v>0.93683865562148194</v>
      </c>
      <c r="J13" s="258">
        <f>STDEV(J6:J11)</f>
        <v>1.1471704319759988</v>
      </c>
      <c r="K13" s="259">
        <f>STDEV(K6:K11)</f>
        <v>0.90994505328618691</v>
      </c>
    </row>
    <row r="14" spans="2:14" ht="16.5" customHeight="1">
      <c r="B14" s="260" t="s">
        <v>203</v>
      </c>
      <c r="C14" s="261">
        <v>7</v>
      </c>
      <c r="D14" s="249">
        <v>34</v>
      </c>
      <c r="E14" s="248">
        <v>34.299999999999997</v>
      </c>
      <c r="F14" s="248">
        <v>34.9</v>
      </c>
      <c r="G14" s="248">
        <v>37.5</v>
      </c>
      <c r="H14" s="248">
        <v>38.1</v>
      </c>
      <c r="I14" s="248">
        <v>39.4</v>
      </c>
      <c r="J14" s="248">
        <v>40.200000000000003</v>
      </c>
      <c r="K14" s="250">
        <v>40.700000000000003</v>
      </c>
    </row>
    <row r="15" spans="2:14" ht="16.5" customHeight="1">
      <c r="B15" s="262"/>
      <c r="C15" s="261">
        <v>8</v>
      </c>
      <c r="D15" s="248">
        <v>34.4</v>
      </c>
      <c r="E15" s="248">
        <v>35.4</v>
      </c>
      <c r="F15" s="248">
        <v>36.1</v>
      </c>
      <c r="G15" s="248">
        <v>37.6</v>
      </c>
      <c r="H15" s="248">
        <v>38.5</v>
      </c>
      <c r="I15" s="248">
        <v>39.700000000000003</v>
      </c>
      <c r="J15" s="248">
        <v>41.5</v>
      </c>
      <c r="K15" s="250">
        <v>41.9</v>
      </c>
    </row>
    <row r="16" spans="2:14" ht="16.5" customHeight="1">
      <c r="B16" s="262"/>
      <c r="C16" s="261">
        <v>9</v>
      </c>
      <c r="D16" s="248">
        <v>35.200000000000003</v>
      </c>
      <c r="E16" s="248">
        <v>33.9</v>
      </c>
      <c r="F16" s="248">
        <v>35.799999999999997</v>
      </c>
      <c r="G16" s="248">
        <v>36.1</v>
      </c>
      <c r="H16" s="248">
        <v>37.700000000000003</v>
      </c>
      <c r="I16" s="248">
        <v>38.799999999999997</v>
      </c>
      <c r="J16" s="248">
        <v>39.799999999999997</v>
      </c>
      <c r="K16" s="263">
        <v>40.299999999999997</v>
      </c>
    </row>
    <row r="17" spans="2:28" ht="16.5" customHeight="1">
      <c r="B17" s="262"/>
      <c r="C17" s="261">
        <v>10</v>
      </c>
      <c r="D17" s="249">
        <v>33.700000000000003</v>
      </c>
      <c r="E17" s="249">
        <v>32.6</v>
      </c>
      <c r="F17" s="249">
        <v>34.6</v>
      </c>
      <c r="G17" s="249">
        <v>36.200000000000003</v>
      </c>
      <c r="H17" s="249">
        <v>36.799999999999997</v>
      </c>
      <c r="I17" s="249">
        <v>38.4</v>
      </c>
      <c r="J17" s="249">
        <v>39.6</v>
      </c>
      <c r="K17" s="251">
        <v>40.1</v>
      </c>
    </row>
    <row r="18" spans="2:28" ht="16.5" customHeight="1">
      <c r="B18" s="262"/>
      <c r="C18" s="261">
        <v>11</v>
      </c>
      <c r="D18" s="249">
        <v>34.799999999999997</v>
      </c>
      <c r="E18" s="249">
        <v>36.299999999999997</v>
      </c>
      <c r="F18" s="249">
        <v>38.6</v>
      </c>
      <c r="G18" s="249">
        <v>39</v>
      </c>
      <c r="H18" s="249">
        <v>40.299999999999997</v>
      </c>
      <c r="I18" s="249">
        <v>42.4</v>
      </c>
      <c r="J18" s="249">
        <v>42.5</v>
      </c>
      <c r="K18" s="251">
        <v>44.9</v>
      </c>
    </row>
    <row r="19" spans="2:28" ht="17.5" thickBot="1">
      <c r="B19" s="262"/>
      <c r="C19" s="261">
        <v>12</v>
      </c>
      <c r="D19" s="248">
        <v>35.200000000000003</v>
      </c>
      <c r="E19" s="248">
        <v>33.4</v>
      </c>
      <c r="F19" s="248">
        <v>35.9</v>
      </c>
      <c r="G19" s="248">
        <v>36.5</v>
      </c>
      <c r="H19" s="248">
        <v>37.799999999999997</v>
      </c>
      <c r="I19" s="248">
        <v>38.5</v>
      </c>
      <c r="J19" s="249">
        <v>39</v>
      </c>
      <c r="K19" s="250">
        <v>40.700000000000003</v>
      </c>
    </row>
    <row r="20" spans="2:28">
      <c r="B20" s="252" t="s">
        <v>74</v>
      </c>
      <c r="C20" s="253"/>
      <c r="D20" s="254">
        <f>AVERAGE(D14:D19)</f>
        <v>34.550000000000004</v>
      </c>
      <c r="E20" s="254">
        <f>AVERAGE(E14:E19)</f>
        <v>34.31666666666667</v>
      </c>
      <c r="F20" s="254">
        <f>AVERAGE(F14:F19)</f>
        <v>35.983333333333334</v>
      </c>
      <c r="G20" s="254">
        <f t="shared" ref="G20:I20" si="2">AVERAGE(G14:G19)</f>
        <v>37.15</v>
      </c>
      <c r="H20" s="254">
        <f t="shared" si="2"/>
        <v>38.199999999999996</v>
      </c>
      <c r="I20" s="254">
        <f t="shared" si="2"/>
        <v>39.533333333333331</v>
      </c>
      <c r="J20" s="254">
        <f>AVERAGE(J14:J19)</f>
        <v>40.43333333333333</v>
      </c>
      <c r="K20" s="255">
        <f>AVERAGE(K14:K19)</f>
        <v>41.433333333333337</v>
      </c>
    </row>
    <row r="21" spans="2:28" ht="17.5" thickBot="1">
      <c r="B21" s="256" t="s">
        <v>75</v>
      </c>
      <c r="C21" s="257"/>
      <c r="D21" s="258">
        <f>STDEV(D14:D19)</f>
        <v>0.62529992803453949</v>
      </c>
      <c r="E21" s="258">
        <f>STDEV(E14:E19)</f>
        <v>1.3467244212037828</v>
      </c>
      <c r="F21" s="258">
        <f>STDEV(F14:F19)</f>
        <v>1.4133883637085274</v>
      </c>
      <c r="G21" s="258">
        <f t="shared" ref="G21:I21" si="3">STDEV(G14:G19)</f>
        <v>1.1113055385446429</v>
      </c>
      <c r="H21" s="258">
        <f t="shared" si="3"/>
        <v>1.1730302638892141</v>
      </c>
      <c r="I21" s="258">
        <f t="shared" si="3"/>
        <v>1.4935416521365137</v>
      </c>
      <c r="J21" s="258">
        <f>STDEV(J14:J19)</f>
        <v>1.3125039682479693</v>
      </c>
      <c r="K21" s="259">
        <f>STDEV(K14:K19)</f>
        <v>1.8096040082478442</v>
      </c>
    </row>
    <row r="22" spans="2:28" ht="16.5" customHeight="1">
      <c r="B22" s="260" t="s">
        <v>204</v>
      </c>
      <c r="C22" s="261">
        <v>13</v>
      </c>
      <c r="D22" s="248">
        <v>34.5</v>
      </c>
      <c r="E22" s="248">
        <v>36.200000000000003</v>
      </c>
      <c r="F22" s="248">
        <v>37.6</v>
      </c>
      <c r="G22" s="248">
        <v>39.4</v>
      </c>
      <c r="H22" s="248">
        <v>39.4</v>
      </c>
      <c r="I22" s="248">
        <v>40.799999999999997</v>
      </c>
      <c r="J22" s="248">
        <v>41.1</v>
      </c>
      <c r="K22" s="250">
        <v>41.7</v>
      </c>
    </row>
    <row r="23" spans="2:28" ht="16.5" customHeight="1">
      <c r="B23" s="262"/>
      <c r="C23" s="261">
        <v>14</v>
      </c>
      <c r="D23" s="248">
        <v>33.9</v>
      </c>
      <c r="E23" s="248">
        <v>33.4</v>
      </c>
      <c r="F23" s="248">
        <v>35.700000000000003</v>
      </c>
      <c r="G23" s="248">
        <v>36.5</v>
      </c>
      <c r="H23" s="248">
        <v>37.4</v>
      </c>
      <c r="I23" s="248">
        <v>38.1</v>
      </c>
      <c r="J23" s="248">
        <v>39.1</v>
      </c>
      <c r="K23" s="250">
        <v>40.700000000000003</v>
      </c>
    </row>
    <row r="24" spans="2:28" ht="16.5" customHeight="1">
      <c r="B24" s="262"/>
      <c r="C24" s="261">
        <v>15</v>
      </c>
      <c r="D24" s="248">
        <v>34.200000000000003</v>
      </c>
      <c r="E24" s="248">
        <v>34.9</v>
      </c>
      <c r="F24" s="248">
        <v>35.9</v>
      </c>
      <c r="G24" s="248">
        <v>36.299999999999997</v>
      </c>
      <c r="H24" s="248">
        <v>36.4</v>
      </c>
      <c r="I24" s="248">
        <v>37.1</v>
      </c>
      <c r="J24" s="248">
        <v>39.1</v>
      </c>
      <c r="K24" s="263">
        <v>40.4</v>
      </c>
    </row>
    <row r="25" spans="2:28" ht="16.5" customHeight="1">
      <c r="B25" s="262"/>
      <c r="C25" s="261">
        <v>16</v>
      </c>
      <c r="D25" s="249">
        <v>34.799999999999997</v>
      </c>
      <c r="E25" s="249">
        <v>34.700000000000003</v>
      </c>
      <c r="F25" s="249">
        <v>38.200000000000003</v>
      </c>
      <c r="G25" s="249">
        <v>38.5</v>
      </c>
      <c r="H25" s="249">
        <v>38.1</v>
      </c>
      <c r="I25" s="249">
        <v>40.1</v>
      </c>
      <c r="J25" s="249">
        <v>40.200000000000003</v>
      </c>
      <c r="K25" s="251">
        <v>40.6</v>
      </c>
    </row>
    <row r="26" spans="2:28" ht="16.5" customHeight="1">
      <c r="B26" s="262"/>
      <c r="C26" s="261">
        <v>17</v>
      </c>
      <c r="D26" s="249">
        <v>34.5</v>
      </c>
      <c r="E26" s="249">
        <v>35.299999999999997</v>
      </c>
      <c r="F26" s="249">
        <v>37.200000000000003</v>
      </c>
      <c r="G26" s="249">
        <v>38.6</v>
      </c>
      <c r="H26" s="249">
        <v>39.4</v>
      </c>
      <c r="I26" s="249">
        <v>41.1</v>
      </c>
      <c r="J26" s="249">
        <v>41.5</v>
      </c>
      <c r="K26" s="251">
        <v>42.3</v>
      </c>
    </row>
    <row r="27" spans="2:28" ht="17.5" thickBot="1">
      <c r="B27" s="262"/>
      <c r="C27" s="261">
        <v>18</v>
      </c>
      <c r="D27" s="248">
        <v>35.4</v>
      </c>
      <c r="E27" s="248">
        <v>35.299999999999997</v>
      </c>
      <c r="F27" s="248">
        <v>37.5</v>
      </c>
      <c r="G27" s="248">
        <v>38.299999999999997</v>
      </c>
      <c r="H27" s="248">
        <v>39.200000000000003</v>
      </c>
      <c r="I27" s="249">
        <v>40</v>
      </c>
      <c r="J27" s="248">
        <v>40.799999999999997</v>
      </c>
      <c r="K27" s="250">
        <v>41.8</v>
      </c>
    </row>
    <row r="28" spans="2:28">
      <c r="B28" s="252" t="s">
        <v>74</v>
      </c>
      <c r="C28" s="253"/>
      <c r="D28" s="254">
        <f>AVERAGE(D22:D27)</f>
        <v>34.550000000000004</v>
      </c>
      <c r="E28" s="254">
        <f>AVERAGE(E22:E27)</f>
        <v>34.966666666666669</v>
      </c>
      <c r="F28" s="254">
        <f>AVERAGE(F22:F27)</f>
        <v>37.016666666666673</v>
      </c>
      <c r="G28" s="254">
        <f t="shared" ref="G28:I28" si="4">AVERAGE(G22:G27)</f>
        <v>37.93333333333333</v>
      </c>
      <c r="H28" s="254">
        <f t="shared" si="4"/>
        <v>38.316666666666663</v>
      </c>
      <c r="I28" s="254">
        <f t="shared" si="4"/>
        <v>39.533333333333331</v>
      </c>
      <c r="J28" s="254">
        <f>AVERAGE(J22:J27)</f>
        <v>40.300000000000004</v>
      </c>
      <c r="K28" s="255">
        <f>AVERAGE(K22:K27)</f>
        <v>41.25</v>
      </c>
    </row>
    <row r="29" spans="2:28" ht="17.5" thickBot="1">
      <c r="B29" s="256" t="s">
        <v>75</v>
      </c>
      <c r="C29" s="257"/>
      <c r="D29" s="258">
        <f>STDEV(D22:D27)</f>
        <v>0.51672042731055179</v>
      </c>
      <c r="E29" s="258">
        <f>STDEV(E22:E27)</f>
        <v>0.92448183685060459</v>
      </c>
      <c r="F29" s="258">
        <f>STDEV(F22:F27)</f>
        <v>0.99883265198263704</v>
      </c>
      <c r="G29" s="258">
        <f t="shared" ref="G29:J29" si="5">STDEV(G22:G27)</f>
        <v>1.2468627296806445</v>
      </c>
      <c r="H29" s="258">
        <f t="shared" si="5"/>
        <v>1.2400268814290552</v>
      </c>
      <c r="I29" s="258">
        <f t="shared" si="5"/>
        <v>1.5857700547893645</v>
      </c>
      <c r="J29" s="258">
        <f t="shared" si="5"/>
        <v>1.0217631819555832</v>
      </c>
      <c r="K29" s="259">
        <f>STDEV(K22:K27)</f>
        <v>0.78166488983451099</v>
      </c>
      <c r="AB29" t="s">
        <v>205</v>
      </c>
    </row>
    <row r="30" spans="2:28">
      <c r="D30" s="264">
        <f>SUM(D6:D11,D14:D19,D22:D27)</f>
        <v>621.79999999999984</v>
      </c>
      <c r="E30" s="264">
        <f t="shared" ref="E30:K30" si="6">SUM(E6:E11,E14:E19,E22:E27)</f>
        <v>626.79999999999995</v>
      </c>
      <c r="F30" s="264">
        <f t="shared" si="6"/>
        <v>658.9000000000002</v>
      </c>
      <c r="G30" s="264">
        <f t="shared" si="6"/>
        <v>677.49999999999989</v>
      </c>
      <c r="H30" s="264">
        <f t="shared" si="6"/>
        <v>693.2</v>
      </c>
      <c r="I30" s="264">
        <f t="shared" si="6"/>
        <v>713.7</v>
      </c>
      <c r="J30" s="264">
        <f t="shared" si="6"/>
        <v>728.6</v>
      </c>
      <c r="K30" s="264">
        <f t="shared" si="6"/>
        <v>744.49999999999989</v>
      </c>
    </row>
  </sheetData>
  <mergeCells count="12">
    <mergeCell ref="B14:B19"/>
    <mergeCell ref="B20:C20"/>
    <mergeCell ref="B21:C21"/>
    <mergeCell ref="B22:B27"/>
    <mergeCell ref="B28:C28"/>
    <mergeCell ref="B29:C29"/>
    <mergeCell ref="B2:K2"/>
    <mergeCell ref="B4:B5"/>
    <mergeCell ref="C4:C5"/>
    <mergeCell ref="B6:B11"/>
    <mergeCell ref="B12:C12"/>
    <mergeCell ref="B13:C13"/>
  </mergeCells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2E865564B00FC4183AAB8D91F544177" ma:contentTypeVersion="17" ma:contentTypeDescription="새 문서를 만듭니다." ma:contentTypeScope="" ma:versionID="ea9feb89737bdbdccb33d302e8f3f5ca">
  <xsd:schema xmlns:xsd="http://www.w3.org/2001/XMLSchema" xmlns:xs="http://www.w3.org/2001/XMLSchema" xmlns:p="http://schemas.microsoft.com/office/2006/metadata/properties" xmlns:ns2="b9becf68-d1e7-42ed-9cbb-8330462b1c0d" xmlns:ns3="dc7f87b7-bc94-4585-a402-72c318802629" targetNamespace="http://schemas.microsoft.com/office/2006/metadata/properties" ma:root="true" ma:fieldsID="7848d37742aa4f846e5b11cfda9d9d53" ns2:_="" ns3:_="">
    <xsd:import namespace="b9becf68-d1e7-42ed-9cbb-8330462b1c0d"/>
    <xsd:import namespace="dc7f87b7-bc94-4585-a402-72c3188026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_x0030_0__xc815__xbd80__xacfc__xc81c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ecf68-d1e7-42ed-9cbb-8330462b1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97c9cfa3-c4c8-41f7-9cd3-a59987450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0__xc815__xbd80__xacfc__xc81c_" ma:index="24" nillable="true" ma:displayName="00_정부과제" ma:format="Dropdown" ma:internalName="_x0030_0__xc815__xbd80__xacfc__xc81c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f87b7-bc94-4585-a402-72c3188026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af38923-48b9-4f9c-bada-c27a6c22649c}" ma:internalName="TaxCatchAll" ma:showField="CatchAllData" ma:web="dc7f87b7-bc94-4585-a402-72c3188026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f87b7-bc94-4585-a402-72c318802629" xsi:nil="true"/>
    <_x0030_0__xc815__xbd80__xacfc__xc81c_ xmlns="b9becf68-d1e7-42ed-9cbb-8330462b1c0d" xsi:nil="true"/>
    <lcf76f155ced4ddcb4097134ff3c332f xmlns="b9becf68-d1e7-42ed-9cbb-8330462b1c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EE03A-25BD-47B2-8457-8FB8B9F4CCE7}"/>
</file>

<file path=customXml/itemProps2.xml><?xml version="1.0" encoding="utf-8"?>
<ds:datastoreItem xmlns:ds="http://schemas.openxmlformats.org/officeDocument/2006/customXml" ds:itemID="{4CDAB62D-72CE-4688-ADF4-177CE65B4666}"/>
</file>

<file path=customXml/itemProps3.xml><?xml version="1.0" encoding="utf-8"?>
<ds:datastoreItem xmlns:ds="http://schemas.openxmlformats.org/officeDocument/2006/customXml" ds:itemID="{8AE4E630-B406-4DEA-B4E1-9844D66F4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Report_Summary</vt:lpstr>
      <vt:lpstr>1. Data</vt:lpstr>
      <vt:lpstr>2. Result</vt:lpstr>
      <vt:lpstr>1(1). LCMS</vt:lpstr>
      <vt:lpstr>BW</vt:lpstr>
      <vt:lpstr>'1. Data'!Print_Area</vt:lpstr>
      <vt:lpstr>'2. Result'!Print_Titles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QDIC_YM</dc:creator>
  <cp:lastModifiedBy>Brian Won</cp:lastModifiedBy>
  <cp:lastPrinted>2021-07-06T02:07:46Z</cp:lastPrinted>
  <dcterms:created xsi:type="dcterms:W3CDTF">2010-12-27T05:34:19Z</dcterms:created>
  <dcterms:modified xsi:type="dcterms:W3CDTF">2026-05-27T08:59:02Z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0x01010012E865564B00FC4183AAB8D91F544177</vt:lpwstr>
  </property>
</Properties>
</file>